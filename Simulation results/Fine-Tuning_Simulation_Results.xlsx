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365-my.sharepoint.com/personal/abrara_smu_edu/Documents/Desktop/"/>
    </mc:Choice>
  </mc:AlternateContent>
  <xr:revisionPtr revIDLastSave="665" documentId="8_{00CA20C2-06C3-430A-A799-4E7A5A8D7628}" xr6:coauthVersionLast="47" xr6:coauthVersionMax="47" xr10:uidLastSave="{84749F98-9460-4003-A1BF-F79CC517B3A6}"/>
  <bookViews>
    <workbookView xWindow="-120" yWindow="-120" windowWidth="29040" windowHeight="15720" activeTab="4" xr2:uid="{554D13D3-6E60-4354-BEBC-7E860E2D75DE}"/>
  </bookViews>
  <sheets>
    <sheet name="T5-Small" sheetId="1" r:id="rId1"/>
    <sheet name="BERT" sheetId="2" r:id="rId2"/>
    <sheet name="RoBERTa" sheetId="3" r:id="rId3"/>
    <sheet name="Llama" sheetId="4" r:id="rId4"/>
    <sheet name="Combined Fine-Tuning Plots" sheetId="5" r:id="rId5"/>
    <sheet name="Llama Perplexity Calcul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2" i="6"/>
  <c r="B3" i="6"/>
  <c r="B4" i="6"/>
  <c r="B5" i="6"/>
  <c r="B6" i="6"/>
  <c r="B7" i="6"/>
  <c r="B8" i="6"/>
  <c r="B9" i="6"/>
  <c r="B10" i="6"/>
  <c r="B11" i="6"/>
  <c r="B2" i="6"/>
  <c r="L4" i="4"/>
  <c r="L5" i="4"/>
  <c r="L6" i="4"/>
  <c r="L7" i="4"/>
  <c r="L8" i="4"/>
  <c r="L9" i="4"/>
  <c r="L10" i="4"/>
  <c r="L11" i="4"/>
  <c r="L4" i="3"/>
  <c r="L5" i="3"/>
  <c r="L6" i="3"/>
  <c r="L7" i="3"/>
  <c r="L8" i="3"/>
  <c r="L9" i="3"/>
  <c r="L10" i="3"/>
  <c r="L11" i="3"/>
  <c r="L4" i="2"/>
  <c r="L5" i="2"/>
  <c r="L6" i="2"/>
  <c r="L7" i="2"/>
  <c r="L8" i="2"/>
  <c r="L9" i="2"/>
  <c r="L10" i="2"/>
  <c r="L11" i="2"/>
  <c r="L4" i="1"/>
  <c r="L5" i="1"/>
  <c r="L6" i="1"/>
  <c r="L7" i="1"/>
  <c r="L8" i="1"/>
  <c r="L9" i="1"/>
  <c r="L10" i="1"/>
  <c r="L11" i="1"/>
</calcChain>
</file>

<file path=xl/sharedStrings.xml><?xml version="1.0" encoding="utf-8"?>
<sst xmlns="http://schemas.openxmlformats.org/spreadsheetml/2006/main" count="73" uniqueCount="22">
  <si>
    <t>Nodes</t>
  </si>
  <si>
    <t>GPUs</t>
  </si>
  <si>
    <t>Relevant Parameters</t>
  </si>
  <si>
    <t>Total Tokens</t>
  </si>
  <si>
    <t>Fine-Tuning Wall-Clock Time (minutes)</t>
  </si>
  <si>
    <t>OMP NUM THREADS</t>
  </si>
  <si>
    <t>CPUs per Task</t>
  </si>
  <si>
    <t>Memory per GPU (GB)</t>
  </si>
  <si>
    <t>torch.set_num_threads()</t>
  </si>
  <si>
    <t>torch.set_num_interop_threads()</t>
  </si>
  <si>
    <t>Starting Loss</t>
  </si>
  <si>
    <t>Ending Loss</t>
  </si>
  <si>
    <t>Scaling Efficiency (%)</t>
  </si>
  <si>
    <t>N/A</t>
  </si>
  <si>
    <t>T5-Small Fine-Tuning Wall-Clock Time (minutes)</t>
  </si>
  <si>
    <t>BERT Fine-Tuning Wall-Clock Time (minutes)</t>
  </si>
  <si>
    <t>RoBERTa Fine-Tuning Wall-Clock Time (minutes)</t>
  </si>
  <si>
    <t>Llama-3.2-3B Fine-Tuning Wall-Clock Time (minutes)</t>
  </si>
  <si>
    <t>Per Epoch Cross-Entropy Loss during Fine-Tuning (Correct Code)</t>
  </si>
  <si>
    <t>Per Epoch Perplexity during Fine-Tuning (Correct Code)</t>
  </si>
  <si>
    <t>Per Epoch Cross-Entropy Loss during Fine-Tuning (Incorrect Code)</t>
  </si>
  <si>
    <t>Per Epoch Perplexity during Fine-Tuning (Incorrect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</si>
</sst>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Fine-Tuning Strong Scaling Analysis for T5-Small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T5-Small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'T5-Small'!$B$17:$B$25</c:f>
              <c:numCache>
                <c:formatCode>General</c:formatCode>
                <c:ptCount val="9"/>
                <c:pt idx="0">
                  <c:v>206.76</c:v>
                </c:pt>
                <c:pt idx="1">
                  <c:v>104.91</c:v>
                </c:pt>
                <c:pt idx="2">
                  <c:v>53.31</c:v>
                </c:pt>
                <c:pt idx="3">
                  <c:v>35.69</c:v>
                </c:pt>
                <c:pt idx="4">
                  <c:v>26.92</c:v>
                </c:pt>
                <c:pt idx="5">
                  <c:v>24.32</c:v>
                </c:pt>
                <c:pt idx="6">
                  <c:v>18.350000000000001</c:v>
                </c:pt>
                <c:pt idx="7">
                  <c:v>17.72</c:v>
                </c:pt>
                <c:pt idx="8">
                  <c:v>13.45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8-44A4-B633-DF5EC36BE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263583"/>
        <c:axId val="12472640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'T5-Small'!$A$17:$A$25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ED8-44A4-B633-DF5EC36BE779}"/>
                  </c:ext>
                </c:extLst>
              </c15:ser>
            </c15:filteredLineSeries>
          </c:ext>
        </c:extLst>
      </c:lineChart>
      <c:catAx>
        <c:axId val="124726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7099251482453575"/>
              <c:y val="0.901685923028593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64063"/>
        <c:crosses val="autoZero"/>
        <c:auto val="1"/>
        <c:lblAlgn val="ctr"/>
        <c:lblOffset val="100"/>
        <c:noMultiLvlLbl val="0"/>
      </c:catAx>
      <c:valAx>
        <c:axId val="12472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7.5147611379495442E-3"/>
              <c:y val="0.321369324728082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Fine-Tuning Strong</a:t>
            </a:r>
            <a:r>
              <a:rPr lang="en-US" b="1" baseline="0"/>
              <a:t> Scaling Analysis for </a:t>
            </a:r>
            <a:r>
              <a:rPr lang="en-US" b="1"/>
              <a:t>BERT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BERT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BERT!$B$17:$B$25</c:f>
              <c:numCache>
                <c:formatCode>General</c:formatCode>
                <c:ptCount val="9"/>
                <c:pt idx="0">
                  <c:v>179.19</c:v>
                </c:pt>
                <c:pt idx="1">
                  <c:v>91.78</c:v>
                </c:pt>
                <c:pt idx="2">
                  <c:v>46.29</c:v>
                </c:pt>
                <c:pt idx="3">
                  <c:v>31.16</c:v>
                </c:pt>
                <c:pt idx="4">
                  <c:v>23.49</c:v>
                </c:pt>
                <c:pt idx="5">
                  <c:v>19.91</c:v>
                </c:pt>
                <c:pt idx="6">
                  <c:v>15.94</c:v>
                </c:pt>
                <c:pt idx="7">
                  <c:v>13.51</c:v>
                </c:pt>
                <c:pt idx="8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F-4622-90E5-423231DDB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775039"/>
        <c:axId val="10827855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BERT!$A$17:$A$25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9EF-4622-90E5-423231DDBEA7}"/>
                  </c:ext>
                </c:extLst>
              </c15:ser>
            </c15:filteredLineSeries>
          </c:ext>
        </c:extLst>
      </c:lineChart>
      <c:catAx>
        <c:axId val="108277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5726356932656143"/>
              <c:y val="0.89975469682846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85599"/>
        <c:crosses val="autoZero"/>
        <c:auto val="1"/>
        <c:lblAlgn val="ctr"/>
        <c:lblOffset val="100"/>
        <c:noMultiLvlLbl val="0"/>
      </c:catAx>
      <c:valAx>
        <c:axId val="108278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6.9264069264069264E-3"/>
              <c:y val="0.329988583601560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7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Fine-Tuning Strong Scaling Analysis for RoBERTa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RoBERTa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RoBERTa!$B$17:$B$25</c:f>
              <c:numCache>
                <c:formatCode>General</c:formatCode>
                <c:ptCount val="9"/>
                <c:pt idx="0">
                  <c:v>238.71</c:v>
                </c:pt>
                <c:pt idx="1">
                  <c:v>122.28</c:v>
                </c:pt>
                <c:pt idx="2" formatCode="0.00">
                  <c:v>61.6</c:v>
                </c:pt>
                <c:pt idx="3">
                  <c:v>41.36</c:v>
                </c:pt>
                <c:pt idx="4">
                  <c:v>31.03</c:v>
                </c:pt>
                <c:pt idx="5">
                  <c:v>26.87</c:v>
                </c:pt>
                <c:pt idx="6">
                  <c:v>21.46</c:v>
                </c:pt>
                <c:pt idx="7" formatCode="0.00">
                  <c:v>18.100000000000001</c:v>
                </c:pt>
                <c:pt idx="8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11-4886-BB55-8362D5246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225663"/>
        <c:axId val="12472261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RoBERTa!$A$17:$A$25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811-4886-BB55-8362D5246DE7}"/>
                  </c:ext>
                </c:extLst>
              </c15:ser>
            </c15:filteredLineSeries>
          </c:ext>
        </c:extLst>
      </c:lineChart>
      <c:catAx>
        <c:axId val="124722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26143"/>
        <c:crosses val="autoZero"/>
        <c:auto val="1"/>
        <c:lblAlgn val="ctr"/>
        <c:lblOffset val="100"/>
        <c:noMultiLvlLbl val="0"/>
      </c:catAx>
      <c:valAx>
        <c:axId val="124722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8.0459770114942528E-3"/>
              <c:y val="0.30750875616787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2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Fine-Tuning Strong Scaling Analysis</a:t>
            </a:r>
            <a:r>
              <a:rPr lang="en-US" b="1" baseline="0"/>
              <a:t> for Llama-3.2-3B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Llama-3.2-3B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Llama!$B$17:$B$25</c:f>
              <c:numCache>
                <c:formatCode>0.00</c:formatCode>
                <c:ptCount val="9"/>
                <c:pt idx="0">
                  <c:v>2141.2800000000002</c:v>
                </c:pt>
                <c:pt idx="1">
                  <c:v>1092.43</c:v>
                </c:pt>
                <c:pt idx="2">
                  <c:v>545.07000000000005</c:v>
                </c:pt>
                <c:pt idx="3">
                  <c:v>369.43</c:v>
                </c:pt>
                <c:pt idx="4">
                  <c:v>278.64</c:v>
                </c:pt>
                <c:pt idx="5">
                  <c:v>230.43</c:v>
                </c:pt>
                <c:pt idx="6">
                  <c:v>222.13</c:v>
                </c:pt>
                <c:pt idx="7">
                  <c:v>193.11</c:v>
                </c:pt>
                <c:pt idx="8">
                  <c:v>141.6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9-4E04-B9B8-6F702FE58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222640"/>
        <c:axId val="16202159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Llama!$A$17:$A$25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3B9-4E04-B9B8-6F702FE5895C}"/>
                  </c:ext>
                </c:extLst>
              </c15:ser>
            </c15:filteredLineSeries>
          </c:ext>
        </c:extLst>
      </c:lineChart>
      <c:catAx>
        <c:axId val="162022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6978429792507764"/>
              <c:y val="0.89316571009235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15920"/>
        <c:crosses val="autoZero"/>
        <c:auto val="1"/>
        <c:lblAlgn val="ctr"/>
        <c:lblOffset val="100"/>
        <c:noMultiLvlLbl val="0"/>
      </c:catAx>
      <c:valAx>
        <c:axId val="16202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7.9297642317860267E-3"/>
              <c:y val="0.33989175896863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1"/>
          <c:order val="1"/>
          <c:tx>
            <c:v>BERT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'Combined Fine-Tuning Plots'!$B$3:$B$11</c:f>
              <c:numCache>
                <c:formatCode>General</c:formatCode>
                <c:ptCount val="9"/>
                <c:pt idx="0">
                  <c:v>206.76</c:v>
                </c:pt>
                <c:pt idx="1">
                  <c:v>104.91</c:v>
                </c:pt>
                <c:pt idx="2">
                  <c:v>53.31</c:v>
                </c:pt>
                <c:pt idx="3">
                  <c:v>35.69</c:v>
                </c:pt>
                <c:pt idx="4">
                  <c:v>26.92</c:v>
                </c:pt>
                <c:pt idx="5">
                  <c:v>24.32</c:v>
                </c:pt>
                <c:pt idx="6">
                  <c:v>18.350000000000001</c:v>
                </c:pt>
                <c:pt idx="7">
                  <c:v>17.72</c:v>
                </c:pt>
                <c:pt idx="8">
                  <c:v>13.45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1-40A4-9AD2-2988C403CD19}"/>
            </c:ext>
          </c:extLst>
        </c:ser>
        <c:ser>
          <c:idx val="2"/>
          <c:order val="2"/>
          <c:tx>
            <c:v>T5-Small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'Combined Fine-Tuning Plots'!$C$3:$C$11</c:f>
              <c:numCache>
                <c:formatCode>General</c:formatCode>
                <c:ptCount val="9"/>
                <c:pt idx="0">
                  <c:v>179.19</c:v>
                </c:pt>
                <c:pt idx="1">
                  <c:v>91.78</c:v>
                </c:pt>
                <c:pt idx="2">
                  <c:v>46.29</c:v>
                </c:pt>
                <c:pt idx="3">
                  <c:v>31.16</c:v>
                </c:pt>
                <c:pt idx="4">
                  <c:v>23.49</c:v>
                </c:pt>
                <c:pt idx="5">
                  <c:v>19.91</c:v>
                </c:pt>
                <c:pt idx="6">
                  <c:v>15.94</c:v>
                </c:pt>
                <c:pt idx="7">
                  <c:v>13.51</c:v>
                </c:pt>
                <c:pt idx="8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1-40A4-9AD2-2988C403CD19}"/>
            </c:ext>
          </c:extLst>
        </c:ser>
        <c:ser>
          <c:idx val="3"/>
          <c:order val="3"/>
          <c:tx>
            <c:v>RoBERTa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'Combined Fine-Tuning Plots'!$D$3:$D$11</c:f>
              <c:numCache>
                <c:formatCode>General</c:formatCode>
                <c:ptCount val="9"/>
                <c:pt idx="0">
                  <c:v>238.71</c:v>
                </c:pt>
                <c:pt idx="1">
                  <c:v>122.28</c:v>
                </c:pt>
                <c:pt idx="2" formatCode="0.00">
                  <c:v>61.6</c:v>
                </c:pt>
                <c:pt idx="3">
                  <c:v>41.36</c:v>
                </c:pt>
                <c:pt idx="4">
                  <c:v>31.03</c:v>
                </c:pt>
                <c:pt idx="5">
                  <c:v>26.87</c:v>
                </c:pt>
                <c:pt idx="6">
                  <c:v>21.46</c:v>
                </c:pt>
                <c:pt idx="7" formatCode="0.00">
                  <c:v>18.100000000000001</c:v>
                </c:pt>
                <c:pt idx="8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31-40A4-9AD2-2988C403CD19}"/>
            </c:ext>
          </c:extLst>
        </c:ser>
        <c:ser>
          <c:idx val="4"/>
          <c:order val="4"/>
          <c:tx>
            <c:v>Llama-3.2-3B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8</c:v>
              </c:pt>
              <c:pt idx="5">
                <c:v>10</c:v>
              </c:pt>
              <c:pt idx="6">
                <c:v>12</c:v>
              </c:pt>
              <c:pt idx="7">
                <c:v>14</c:v>
              </c:pt>
              <c:pt idx="8">
                <c:v>16</c:v>
              </c:pt>
            </c:numLit>
          </c:cat>
          <c:val>
            <c:numRef>
              <c:f>'Combined Fine-Tuning Plots'!$E$3:$E$11</c:f>
              <c:numCache>
                <c:formatCode>0.00</c:formatCode>
                <c:ptCount val="9"/>
                <c:pt idx="0">
                  <c:v>2141.2800000000002</c:v>
                </c:pt>
                <c:pt idx="1">
                  <c:v>1092.43</c:v>
                </c:pt>
                <c:pt idx="2">
                  <c:v>545.07000000000005</c:v>
                </c:pt>
                <c:pt idx="3">
                  <c:v>369.43</c:v>
                </c:pt>
                <c:pt idx="4">
                  <c:v>278.64</c:v>
                </c:pt>
                <c:pt idx="5">
                  <c:v>230.43</c:v>
                </c:pt>
                <c:pt idx="6">
                  <c:v>222.13</c:v>
                </c:pt>
                <c:pt idx="7">
                  <c:v>193.11</c:v>
                </c:pt>
                <c:pt idx="8">
                  <c:v>141.6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31-40A4-9AD2-2988C403C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160543"/>
        <c:axId val="1090151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Lit>
                    <c:formatCode>General</c:formatCode>
                    <c:ptCount val="9"/>
                    <c:pt idx="0">
                      <c:v>1</c:v>
                    </c:pt>
                    <c:pt idx="1">
                      <c:v>2</c:v>
                    </c:pt>
                    <c:pt idx="2">
                      <c:v>4</c:v>
                    </c:pt>
                    <c:pt idx="3">
                      <c:v>6</c:v>
                    </c:pt>
                    <c:pt idx="4">
                      <c:v>8</c:v>
                    </c:pt>
                    <c:pt idx="5">
                      <c:v>10</c:v>
                    </c:pt>
                    <c:pt idx="6">
                      <c:v>12</c:v>
                    </c:pt>
                    <c:pt idx="7">
                      <c:v>14</c:v>
                    </c:pt>
                    <c:pt idx="8">
                      <c:v>16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'Combined Fine-Tuning Plots'!$A$3:$A$11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431-40A4-9AD2-2988C403CD19}"/>
                  </c:ext>
                </c:extLst>
              </c15:ser>
            </c15:filteredLineSeries>
          </c:ext>
        </c:extLst>
      </c:lineChart>
      <c:catAx>
        <c:axId val="109016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No. of GPUs</a:t>
                </a:r>
              </a:p>
            </c:rich>
          </c:tx>
          <c:layout>
            <c:manualLayout>
              <c:xMode val="edge"/>
              <c:yMode val="edge"/>
              <c:x val="0.47534180158831185"/>
              <c:y val="0.905655817972083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51423"/>
        <c:crosses val="autoZero"/>
        <c:auto val="1"/>
        <c:lblAlgn val="ctr"/>
        <c:lblOffset val="100"/>
        <c:noMultiLvlLbl val="0"/>
      </c:catAx>
      <c:valAx>
        <c:axId val="109015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Wall-Clock Time (Minutes)</a:t>
                </a:r>
              </a:p>
            </c:rich>
          </c:tx>
          <c:layout>
            <c:manualLayout>
              <c:xMode val="edge"/>
              <c:yMode val="edge"/>
              <c:x val="7.9734215097485277E-3"/>
              <c:y val="0.353732202060554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14286</xdr:rowOff>
    </xdr:from>
    <xdr:to>
      <xdr:col>11</xdr:col>
      <xdr:colOff>0</xdr:colOff>
      <xdr:row>45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F393D-4C2A-7A74-5578-A705F620B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1333499</xdr:colOff>
      <xdr:row>14</xdr:row>
      <xdr:rowOff>4762</xdr:rowOff>
    </xdr:from>
    <xdr:to>
      <xdr:col>11</xdr:col>
      <xdr:colOff>9524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491AE-9FBA-4FD1-A9E5-671165FB1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4761</xdr:rowOff>
    </xdr:from>
    <xdr:to>
      <xdr:col>11</xdr:col>
      <xdr:colOff>9525</xdr:colOff>
      <xdr:row>45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28CA5-B407-72B1-9B35-BDB55BB5F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14</xdr:row>
      <xdr:rowOff>14286</xdr:rowOff>
    </xdr:from>
    <xdr:to>
      <xdr:col>11</xdr:col>
      <xdr:colOff>9525</xdr:colOff>
      <xdr:row>45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2FB19-14A2-51EB-1E8D-B6F9028D2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14287</xdr:rowOff>
    </xdr:from>
    <xdr:to>
      <xdr:col>6</xdr:col>
      <xdr:colOff>0</xdr:colOff>
      <xdr:row>46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C079C5-13A1-D5EB-B30E-948EC6FCF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A3DF-10A3-4AD9-A536-2019432D80AE}">
  <dimension ref="A1:L25"/>
  <sheetViews>
    <sheetView topLeftCell="H1" workbookViewId="0">
      <selection activeCell="C26" sqref="C26"/>
    </sheetView>
  </sheetViews>
  <sheetFormatPr defaultRowHeight="15" x14ac:dyDescent="0.25"/>
  <cols>
    <col min="2" max="2" width="36.85546875" customWidth="1"/>
    <col min="3" max="3" width="18.85546875" customWidth="1"/>
    <col min="4" max="4" width="14.42578125" customWidth="1"/>
    <col min="5" max="5" width="21" customWidth="1"/>
    <col min="6" max="6" width="24.85546875" customWidth="1"/>
    <col min="7" max="7" width="31.7109375" customWidth="1"/>
    <col min="8" max="8" width="18.85546875" customWidth="1"/>
    <col min="9" max="9" width="15" customWidth="1"/>
    <col min="10" max="10" width="14" customWidth="1"/>
    <col min="11" max="11" width="37.5703125" customWidth="1"/>
    <col min="12" max="12" width="21.28515625" customWidth="1"/>
  </cols>
  <sheetData>
    <row r="1" spans="1:12" x14ac:dyDescent="0.25">
      <c r="A1" s="6" t="s">
        <v>0</v>
      </c>
      <c r="B1" s="6" t="s">
        <v>1</v>
      </c>
      <c r="C1" s="7" t="s">
        <v>2</v>
      </c>
      <c r="D1" s="7"/>
      <c r="E1" s="7"/>
      <c r="F1" s="7"/>
      <c r="G1" s="7"/>
      <c r="H1" s="6" t="s">
        <v>3</v>
      </c>
      <c r="I1" s="6" t="s">
        <v>10</v>
      </c>
      <c r="J1" s="6" t="s">
        <v>11</v>
      </c>
      <c r="K1" s="6" t="s">
        <v>4</v>
      </c>
      <c r="L1" s="6" t="s">
        <v>12</v>
      </c>
    </row>
    <row r="2" spans="1:12" x14ac:dyDescent="0.25">
      <c r="A2" s="6"/>
      <c r="B2" s="6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/>
      <c r="I2" s="6"/>
      <c r="J2" s="6"/>
      <c r="K2" s="6"/>
      <c r="L2" s="6"/>
    </row>
    <row r="3" spans="1:12" x14ac:dyDescent="0.25">
      <c r="A3" s="1">
        <v>1</v>
      </c>
      <c r="B3" s="1">
        <v>1</v>
      </c>
      <c r="C3" s="1">
        <v>1</v>
      </c>
      <c r="D3" s="1">
        <v>4</v>
      </c>
      <c r="E3" s="1">
        <v>128</v>
      </c>
      <c r="F3" s="1">
        <v>1</v>
      </c>
      <c r="G3" s="1">
        <v>1</v>
      </c>
      <c r="H3" s="4">
        <v>2297840</v>
      </c>
      <c r="I3" s="1">
        <v>5.0599999999999996</v>
      </c>
      <c r="J3" s="1">
        <v>3.51</v>
      </c>
      <c r="K3" s="1">
        <v>206.76</v>
      </c>
      <c r="L3" s="3" t="s">
        <v>13</v>
      </c>
    </row>
    <row r="4" spans="1:12" x14ac:dyDescent="0.25">
      <c r="A4" s="1">
        <v>1</v>
      </c>
      <c r="B4" s="1">
        <v>2</v>
      </c>
      <c r="C4" s="1">
        <v>1</v>
      </c>
      <c r="D4" s="1">
        <v>4</v>
      </c>
      <c r="E4" s="1">
        <v>64</v>
      </c>
      <c r="F4" s="1">
        <v>1</v>
      </c>
      <c r="G4" s="1">
        <v>1</v>
      </c>
      <c r="H4" s="4">
        <v>2297840</v>
      </c>
      <c r="I4" s="1">
        <v>5.37</v>
      </c>
      <c r="J4" s="1">
        <v>3.61</v>
      </c>
      <c r="K4" s="1">
        <v>104.91</v>
      </c>
      <c r="L4" s="3">
        <f t="shared" ref="L4:L11" si="0">100*$K$3/(B4*K4)</f>
        <v>98.541607091792969</v>
      </c>
    </row>
    <row r="5" spans="1:12" x14ac:dyDescent="0.25">
      <c r="A5" s="1">
        <v>1</v>
      </c>
      <c r="B5" s="1">
        <v>4</v>
      </c>
      <c r="C5" s="1">
        <v>1</v>
      </c>
      <c r="D5" s="1">
        <v>4</v>
      </c>
      <c r="E5" s="1">
        <v>64</v>
      </c>
      <c r="F5" s="1">
        <v>1</v>
      </c>
      <c r="G5" s="1">
        <v>1</v>
      </c>
      <c r="H5" s="4">
        <v>2297840</v>
      </c>
      <c r="I5" s="1">
        <v>5.69</v>
      </c>
      <c r="J5" s="3">
        <v>3.7</v>
      </c>
      <c r="K5" s="1">
        <v>53.31</v>
      </c>
      <c r="L5" s="3">
        <f t="shared" si="0"/>
        <v>96.961170512099045</v>
      </c>
    </row>
    <row r="6" spans="1:12" x14ac:dyDescent="0.25">
      <c r="A6" s="1">
        <v>1</v>
      </c>
      <c r="B6" s="1">
        <v>6</v>
      </c>
      <c r="C6" s="1">
        <v>1</v>
      </c>
      <c r="D6" s="1">
        <v>4</v>
      </c>
      <c r="E6" s="1">
        <v>64</v>
      </c>
      <c r="F6" s="1">
        <v>1</v>
      </c>
      <c r="G6" s="1">
        <v>1</v>
      </c>
      <c r="H6" s="4">
        <v>2297840</v>
      </c>
      <c r="I6" s="1">
        <v>5.91</v>
      </c>
      <c r="J6" s="1">
        <v>3.75</v>
      </c>
      <c r="K6" s="1">
        <v>35.69</v>
      </c>
      <c r="L6" s="3">
        <f t="shared" si="0"/>
        <v>96.553656486410759</v>
      </c>
    </row>
    <row r="7" spans="1:12" x14ac:dyDescent="0.25">
      <c r="A7" s="1">
        <v>1</v>
      </c>
      <c r="B7" s="1">
        <v>8</v>
      </c>
      <c r="C7" s="1">
        <v>1</v>
      </c>
      <c r="D7" s="1">
        <v>4</v>
      </c>
      <c r="E7" s="1">
        <v>64</v>
      </c>
      <c r="F7" s="1">
        <v>1</v>
      </c>
      <c r="G7" s="1">
        <v>1</v>
      </c>
      <c r="H7" s="4">
        <v>2297840</v>
      </c>
      <c r="I7" s="1">
        <v>6.06</v>
      </c>
      <c r="J7" s="1">
        <v>3.78</v>
      </c>
      <c r="K7" s="1">
        <v>26.92</v>
      </c>
      <c r="L7" s="3">
        <f t="shared" si="0"/>
        <v>96.006686478454668</v>
      </c>
    </row>
    <row r="8" spans="1:12" x14ac:dyDescent="0.25">
      <c r="A8" s="1">
        <v>2</v>
      </c>
      <c r="B8" s="1">
        <v>10</v>
      </c>
      <c r="C8" s="1">
        <v>1</v>
      </c>
      <c r="D8" s="1">
        <v>4</v>
      </c>
      <c r="E8" s="1">
        <v>64</v>
      </c>
      <c r="F8" s="1">
        <v>1</v>
      </c>
      <c r="G8" s="1">
        <v>1</v>
      </c>
      <c r="H8" s="4">
        <v>2297840</v>
      </c>
      <c r="I8" s="1">
        <v>6.21</v>
      </c>
      <c r="J8" s="1">
        <v>3.81</v>
      </c>
      <c r="K8" s="1">
        <v>24.32</v>
      </c>
      <c r="L8" s="3">
        <f t="shared" si="0"/>
        <v>85.016447368421055</v>
      </c>
    </row>
    <row r="9" spans="1:12" x14ac:dyDescent="0.25">
      <c r="A9" s="1">
        <v>2</v>
      </c>
      <c r="B9" s="1">
        <v>12</v>
      </c>
      <c r="C9" s="1">
        <v>1</v>
      </c>
      <c r="D9" s="1">
        <v>4</v>
      </c>
      <c r="E9" s="1">
        <v>64</v>
      </c>
      <c r="F9" s="1">
        <v>1</v>
      </c>
      <c r="G9" s="1">
        <v>1</v>
      </c>
      <c r="H9" s="4">
        <v>2297840</v>
      </c>
      <c r="I9" s="1">
        <v>6.29</v>
      </c>
      <c r="J9" s="1">
        <v>3.83</v>
      </c>
      <c r="K9" s="1">
        <v>18.350000000000001</v>
      </c>
      <c r="L9" s="3">
        <f t="shared" si="0"/>
        <v>93.896457765667563</v>
      </c>
    </row>
    <row r="10" spans="1:12" x14ac:dyDescent="0.25">
      <c r="A10" s="1">
        <v>2</v>
      </c>
      <c r="B10" s="1">
        <v>14</v>
      </c>
      <c r="C10" s="1">
        <v>1</v>
      </c>
      <c r="D10" s="1">
        <v>4</v>
      </c>
      <c r="E10" s="1">
        <v>64</v>
      </c>
      <c r="F10" s="1">
        <v>1</v>
      </c>
      <c r="G10" s="1">
        <v>1</v>
      </c>
      <c r="H10" s="4">
        <v>2297840</v>
      </c>
      <c r="I10" s="1">
        <v>6.41</v>
      </c>
      <c r="J10" s="1">
        <v>3.86</v>
      </c>
      <c r="K10" s="1">
        <v>17.72</v>
      </c>
      <c r="L10" s="3">
        <f t="shared" si="0"/>
        <v>83.344082554014832</v>
      </c>
    </row>
    <row r="11" spans="1:12" x14ac:dyDescent="0.25">
      <c r="A11" s="1">
        <v>2</v>
      </c>
      <c r="B11" s="1">
        <v>16</v>
      </c>
      <c r="C11" s="1">
        <v>1</v>
      </c>
      <c r="D11" s="1">
        <v>4</v>
      </c>
      <c r="E11" s="1">
        <v>64</v>
      </c>
      <c r="F11" s="1">
        <v>1</v>
      </c>
      <c r="G11" s="1">
        <v>1</v>
      </c>
      <c r="H11" s="4">
        <v>2297840</v>
      </c>
      <c r="I11" s="3">
        <v>6.5</v>
      </c>
      <c r="J11" s="1">
        <v>3.88</v>
      </c>
      <c r="K11" s="1">
        <v>13.45</v>
      </c>
      <c r="L11" s="3">
        <f t="shared" si="0"/>
        <v>96.078066914498152</v>
      </c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5" spans="1:12" x14ac:dyDescent="0.25">
      <c r="A15" s="6" t="s">
        <v>1</v>
      </c>
      <c r="B15" s="6" t="s">
        <v>4</v>
      </c>
    </row>
    <row r="16" spans="1:12" x14ac:dyDescent="0.25">
      <c r="A16" s="6"/>
      <c r="B16" s="6"/>
    </row>
    <row r="17" spans="1:2" x14ac:dyDescent="0.25">
      <c r="A17" s="1">
        <v>1</v>
      </c>
      <c r="B17" s="1">
        <v>206.76</v>
      </c>
    </row>
    <row r="18" spans="1:2" x14ac:dyDescent="0.25">
      <c r="A18" s="1">
        <v>2</v>
      </c>
      <c r="B18" s="1">
        <v>104.91</v>
      </c>
    </row>
    <row r="19" spans="1:2" x14ac:dyDescent="0.25">
      <c r="A19" s="1">
        <v>4</v>
      </c>
      <c r="B19" s="1">
        <v>53.31</v>
      </c>
    </row>
    <row r="20" spans="1:2" x14ac:dyDescent="0.25">
      <c r="A20" s="1">
        <v>6</v>
      </c>
      <c r="B20" s="1">
        <v>35.69</v>
      </c>
    </row>
    <row r="21" spans="1:2" x14ac:dyDescent="0.25">
      <c r="A21" s="1">
        <v>8</v>
      </c>
      <c r="B21" s="1">
        <v>26.92</v>
      </c>
    </row>
    <row r="22" spans="1:2" x14ac:dyDescent="0.25">
      <c r="A22" s="1">
        <v>10</v>
      </c>
      <c r="B22" s="1">
        <v>24.32</v>
      </c>
    </row>
    <row r="23" spans="1:2" x14ac:dyDescent="0.25">
      <c r="A23" s="1">
        <v>12</v>
      </c>
      <c r="B23" s="1">
        <v>18.350000000000001</v>
      </c>
    </row>
    <row r="24" spans="1:2" x14ac:dyDescent="0.25">
      <c r="A24" s="1">
        <v>14</v>
      </c>
      <c r="B24" s="1">
        <v>17.72</v>
      </c>
    </row>
    <row r="25" spans="1:2" x14ac:dyDescent="0.25">
      <c r="A25" s="1">
        <v>16</v>
      </c>
      <c r="B25" s="1">
        <v>13.45</v>
      </c>
    </row>
  </sheetData>
  <mergeCells count="10">
    <mergeCell ref="A15:A16"/>
    <mergeCell ref="B15:B16"/>
    <mergeCell ref="L1:L2"/>
    <mergeCell ref="C1:G1"/>
    <mergeCell ref="H1:H2"/>
    <mergeCell ref="A1:A2"/>
    <mergeCell ref="B1:B2"/>
    <mergeCell ref="K1:K2"/>
    <mergeCell ref="I1:I2"/>
    <mergeCell ref="J1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6F15-1C51-488B-B4AA-4EFC769AFE22}">
  <dimension ref="A1:L25"/>
  <sheetViews>
    <sheetView topLeftCell="G1" workbookViewId="0">
      <selection activeCell="L31" sqref="L31"/>
    </sheetView>
  </sheetViews>
  <sheetFormatPr defaultRowHeight="15" x14ac:dyDescent="0.25"/>
  <cols>
    <col min="2" max="2" width="37.28515625" customWidth="1"/>
    <col min="3" max="3" width="20" customWidth="1"/>
    <col min="4" max="4" width="14.28515625" customWidth="1"/>
    <col min="5" max="5" width="20.7109375" customWidth="1"/>
    <col min="6" max="6" width="23.7109375" customWidth="1"/>
    <col min="7" max="7" width="31.28515625" customWidth="1"/>
    <col min="8" max="8" width="13.5703125" customWidth="1"/>
    <col min="9" max="9" width="13" customWidth="1"/>
    <col min="10" max="10" width="12.28515625" customWidth="1"/>
    <col min="11" max="11" width="36" customWidth="1"/>
    <col min="12" max="12" width="20.42578125" customWidth="1"/>
  </cols>
  <sheetData>
    <row r="1" spans="1:12" x14ac:dyDescent="0.25">
      <c r="A1" s="6" t="s">
        <v>0</v>
      </c>
      <c r="B1" s="6" t="s">
        <v>1</v>
      </c>
      <c r="C1" s="7" t="s">
        <v>2</v>
      </c>
      <c r="D1" s="7"/>
      <c r="E1" s="7"/>
      <c r="F1" s="7"/>
      <c r="G1" s="7"/>
      <c r="H1" s="6" t="s">
        <v>3</v>
      </c>
      <c r="I1" s="6" t="s">
        <v>10</v>
      </c>
      <c r="J1" s="6" t="s">
        <v>11</v>
      </c>
      <c r="K1" s="6" t="s">
        <v>4</v>
      </c>
      <c r="L1" s="6" t="s">
        <v>12</v>
      </c>
    </row>
    <row r="2" spans="1:12" x14ac:dyDescent="0.25">
      <c r="A2" s="6"/>
      <c r="B2" s="6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/>
      <c r="I2" s="6"/>
      <c r="J2" s="6"/>
      <c r="K2" s="6"/>
      <c r="L2" s="6"/>
    </row>
    <row r="3" spans="1:12" x14ac:dyDescent="0.25">
      <c r="A3" s="1">
        <v>1</v>
      </c>
      <c r="B3" s="1">
        <v>1</v>
      </c>
      <c r="C3" s="1">
        <v>1</v>
      </c>
      <c r="D3" s="1">
        <v>4</v>
      </c>
      <c r="E3" s="1">
        <v>128</v>
      </c>
      <c r="F3" s="1">
        <v>1</v>
      </c>
      <c r="G3" s="1">
        <v>1</v>
      </c>
      <c r="H3" s="4">
        <v>1949132</v>
      </c>
      <c r="I3" s="1">
        <v>6.03</v>
      </c>
      <c r="J3" s="1">
        <v>3.15</v>
      </c>
      <c r="K3" s="1">
        <v>179.19</v>
      </c>
      <c r="L3" s="3" t="s">
        <v>13</v>
      </c>
    </row>
    <row r="4" spans="1:12" x14ac:dyDescent="0.25">
      <c r="A4" s="1">
        <v>1</v>
      </c>
      <c r="B4" s="1">
        <v>2</v>
      </c>
      <c r="C4" s="1">
        <v>1</v>
      </c>
      <c r="D4" s="1">
        <v>4</v>
      </c>
      <c r="E4" s="1">
        <v>64</v>
      </c>
      <c r="F4" s="1">
        <v>1</v>
      </c>
      <c r="G4" s="1">
        <v>1</v>
      </c>
      <c r="H4" s="4">
        <v>1949132</v>
      </c>
      <c r="I4" s="1">
        <v>6.27</v>
      </c>
      <c r="J4" s="1">
        <v>3.48</v>
      </c>
      <c r="K4" s="1">
        <v>91.78</v>
      </c>
      <c r="L4" s="3">
        <f t="shared" ref="L4:L11" si="0">100*$K$3/(K4*B4)</f>
        <v>97.619307038570497</v>
      </c>
    </row>
    <row r="5" spans="1:12" x14ac:dyDescent="0.25">
      <c r="A5" s="1">
        <v>1</v>
      </c>
      <c r="B5" s="1">
        <v>4</v>
      </c>
      <c r="C5" s="1">
        <v>1</v>
      </c>
      <c r="D5" s="1">
        <v>4</v>
      </c>
      <c r="E5" s="1">
        <v>64</v>
      </c>
      <c r="F5" s="1">
        <v>1</v>
      </c>
      <c r="G5" s="1">
        <v>1</v>
      </c>
      <c r="H5" s="4">
        <v>1949132</v>
      </c>
      <c r="I5" s="1">
        <v>6.56</v>
      </c>
      <c r="J5" s="3">
        <v>3.88</v>
      </c>
      <c r="K5" s="1">
        <v>46.29</v>
      </c>
      <c r="L5" s="3">
        <f t="shared" si="0"/>
        <v>96.775761503564482</v>
      </c>
    </row>
    <row r="6" spans="1:12" x14ac:dyDescent="0.25">
      <c r="A6" s="1">
        <v>1</v>
      </c>
      <c r="B6" s="1">
        <v>6</v>
      </c>
      <c r="C6" s="1">
        <v>1</v>
      </c>
      <c r="D6" s="1">
        <v>4</v>
      </c>
      <c r="E6" s="1">
        <v>64</v>
      </c>
      <c r="F6" s="1">
        <v>1</v>
      </c>
      <c r="G6" s="1">
        <v>1</v>
      </c>
      <c r="H6" s="4">
        <v>1949132</v>
      </c>
      <c r="I6" s="1">
        <v>6.75</v>
      </c>
      <c r="J6" s="1">
        <v>4.1399999999999997</v>
      </c>
      <c r="K6" s="1">
        <v>31.16</v>
      </c>
      <c r="L6" s="3">
        <f t="shared" si="0"/>
        <v>95.84403080872913</v>
      </c>
    </row>
    <row r="7" spans="1:12" x14ac:dyDescent="0.25">
      <c r="A7" s="1">
        <v>1</v>
      </c>
      <c r="B7" s="1">
        <v>8</v>
      </c>
      <c r="C7" s="1">
        <v>1</v>
      </c>
      <c r="D7" s="1">
        <v>4</v>
      </c>
      <c r="E7" s="1">
        <v>64</v>
      </c>
      <c r="F7" s="1">
        <v>1</v>
      </c>
      <c r="G7" s="1">
        <v>1</v>
      </c>
      <c r="H7" s="4">
        <v>1949132</v>
      </c>
      <c r="I7" s="3">
        <v>6.9</v>
      </c>
      <c r="J7" s="1">
        <v>4.29</v>
      </c>
      <c r="K7" s="1">
        <v>23.49</v>
      </c>
      <c r="L7" s="3">
        <f t="shared" si="0"/>
        <v>95.354406130268202</v>
      </c>
    </row>
    <row r="8" spans="1:12" x14ac:dyDescent="0.25">
      <c r="A8" s="1">
        <v>2</v>
      </c>
      <c r="B8" s="1">
        <v>10</v>
      </c>
      <c r="C8" s="1">
        <v>1</v>
      </c>
      <c r="D8" s="1">
        <v>4</v>
      </c>
      <c r="E8" s="1">
        <v>64</v>
      </c>
      <c r="F8" s="1">
        <v>1</v>
      </c>
      <c r="G8" s="1">
        <v>1</v>
      </c>
      <c r="H8" s="4">
        <v>1949132</v>
      </c>
      <c r="I8" s="1">
        <v>7.03</v>
      </c>
      <c r="J8" s="1">
        <v>4.42</v>
      </c>
      <c r="K8" s="1">
        <v>19.91</v>
      </c>
      <c r="L8" s="3">
        <f t="shared" si="0"/>
        <v>90</v>
      </c>
    </row>
    <row r="9" spans="1:12" x14ac:dyDescent="0.25">
      <c r="A9" s="1">
        <v>2</v>
      </c>
      <c r="B9" s="1">
        <v>12</v>
      </c>
      <c r="C9" s="1">
        <v>1</v>
      </c>
      <c r="D9" s="1">
        <v>4</v>
      </c>
      <c r="E9" s="1">
        <v>64</v>
      </c>
      <c r="F9" s="1">
        <v>1</v>
      </c>
      <c r="G9" s="1">
        <v>1</v>
      </c>
      <c r="H9" s="4">
        <v>1949132</v>
      </c>
      <c r="I9" s="1">
        <v>7.15</v>
      </c>
      <c r="J9" s="1">
        <v>4.5199999999999996</v>
      </c>
      <c r="K9" s="1">
        <v>15.94</v>
      </c>
      <c r="L9" s="3">
        <f t="shared" si="0"/>
        <v>93.67942283563363</v>
      </c>
    </row>
    <row r="10" spans="1:12" x14ac:dyDescent="0.25">
      <c r="A10" s="1">
        <v>2</v>
      </c>
      <c r="B10" s="1">
        <v>14</v>
      </c>
      <c r="C10" s="1">
        <v>1</v>
      </c>
      <c r="D10" s="1">
        <v>4</v>
      </c>
      <c r="E10" s="1">
        <v>64</v>
      </c>
      <c r="F10" s="1">
        <v>1</v>
      </c>
      <c r="G10" s="1">
        <v>1</v>
      </c>
      <c r="H10" s="4">
        <v>1949132</v>
      </c>
      <c r="I10" s="1">
        <v>7.23</v>
      </c>
      <c r="J10" s="3">
        <v>4.5999999999999996</v>
      </c>
      <c r="K10" s="1">
        <v>13.51</v>
      </c>
      <c r="L10" s="3">
        <f t="shared" si="0"/>
        <v>94.739346515808407</v>
      </c>
    </row>
    <row r="11" spans="1:12" x14ac:dyDescent="0.25">
      <c r="A11" s="1">
        <v>2</v>
      </c>
      <c r="B11" s="1">
        <v>16</v>
      </c>
      <c r="C11" s="1">
        <v>1</v>
      </c>
      <c r="D11" s="1">
        <v>4</v>
      </c>
      <c r="E11" s="1">
        <v>64</v>
      </c>
      <c r="F11" s="1">
        <v>1</v>
      </c>
      <c r="G11" s="1">
        <v>1</v>
      </c>
      <c r="H11" s="4">
        <v>1949132</v>
      </c>
      <c r="I11" s="3">
        <v>7.38</v>
      </c>
      <c r="J11" s="1">
        <v>4.67</v>
      </c>
      <c r="K11" s="1">
        <v>12.25</v>
      </c>
      <c r="L11" s="3">
        <f t="shared" si="0"/>
        <v>91.423469387755105</v>
      </c>
    </row>
    <row r="15" spans="1:12" x14ac:dyDescent="0.25">
      <c r="A15" s="6" t="s">
        <v>1</v>
      </c>
      <c r="B15" s="6" t="s">
        <v>4</v>
      </c>
    </row>
    <row r="16" spans="1:12" x14ac:dyDescent="0.25">
      <c r="A16" s="6"/>
      <c r="B16" s="6"/>
    </row>
    <row r="17" spans="1:2" x14ac:dyDescent="0.25">
      <c r="A17" s="1">
        <v>1</v>
      </c>
      <c r="B17" s="1">
        <v>179.19</v>
      </c>
    </row>
    <row r="18" spans="1:2" x14ac:dyDescent="0.25">
      <c r="A18" s="1">
        <v>2</v>
      </c>
      <c r="B18" s="1">
        <v>91.78</v>
      </c>
    </row>
    <row r="19" spans="1:2" x14ac:dyDescent="0.25">
      <c r="A19" s="1">
        <v>4</v>
      </c>
      <c r="B19" s="1">
        <v>46.29</v>
      </c>
    </row>
    <row r="20" spans="1:2" x14ac:dyDescent="0.25">
      <c r="A20" s="1">
        <v>6</v>
      </c>
      <c r="B20" s="1">
        <v>31.16</v>
      </c>
    </row>
    <row r="21" spans="1:2" x14ac:dyDescent="0.25">
      <c r="A21" s="1">
        <v>8</v>
      </c>
      <c r="B21" s="1">
        <v>23.49</v>
      </c>
    </row>
    <row r="22" spans="1:2" x14ac:dyDescent="0.25">
      <c r="A22" s="1">
        <v>10</v>
      </c>
      <c r="B22" s="1">
        <v>19.91</v>
      </c>
    </row>
    <row r="23" spans="1:2" x14ac:dyDescent="0.25">
      <c r="A23" s="1">
        <v>12</v>
      </c>
      <c r="B23" s="1">
        <v>15.94</v>
      </c>
    </row>
    <row r="24" spans="1:2" x14ac:dyDescent="0.25">
      <c r="A24" s="1">
        <v>14</v>
      </c>
      <c r="B24" s="1">
        <v>13.51</v>
      </c>
    </row>
    <row r="25" spans="1:2" x14ac:dyDescent="0.25">
      <c r="A25" s="1">
        <v>16</v>
      </c>
      <c r="B25" s="1">
        <v>12.25</v>
      </c>
    </row>
  </sheetData>
  <mergeCells count="10">
    <mergeCell ref="K1:K2"/>
    <mergeCell ref="L1:L2"/>
    <mergeCell ref="A15:A16"/>
    <mergeCell ref="B15:B16"/>
    <mergeCell ref="A1:A2"/>
    <mergeCell ref="B1:B2"/>
    <mergeCell ref="C1:G1"/>
    <mergeCell ref="H1:H2"/>
    <mergeCell ref="I1:I2"/>
    <mergeCell ref="J1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368B-6579-4ED5-B80C-31A4B80EF7B3}">
  <dimension ref="A1:L25"/>
  <sheetViews>
    <sheetView topLeftCell="H1" workbookViewId="0">
      <selection activeCell="C25" sqref="C25"/>
    </sheetView>
  </sheetViews>
  <sheetFormatPr defaultRowHeight="15" x14ac:dyDescent="0.25"/>
  <cols>
    <col min="2" max="2" width="35.7109375" customWidth="1"/>
    <col min="3" max="3" width="19.7109375" customWidth="1"/>
    <col min="4" max="4" width="15.140625" customWidth="1"/>
    <col min="5" max="5" width="20.42578125" customWidth="1"/>
    <col min="6" max="6" width="23.42578125" customWidth="1"/>
    <col min="7" max="7" width="31" customWidth="1"/>
    <col min="8" max="8" width="13.5703125" customWidth="1"/>
    <col min="9" max="9" width="13.28515625" customWidth="1"/>
    <col min="10" max="10" width="12.42578125" customWidth="1"/>
    <col min="11" max="11" width="36.28515625" customWidth="1"/>
    <col min="12" max="12" width="21" customWidth="1"/>
  </cols>
  <sheetData>
    <row r="1" spans="1:12" x14ac:dyDescent="0.25">
      <c r="A1" s="6" t="s">
        <v>0</v>
      </c>
      <c r="B1" s="6" t="s">
        <v>1</v>
      </c>
      <c r="C1" s="7" t="s">
        <v>2</v>
      </c>
      <c r="D1" s="7"/>
      <c r="E1" s="7"/>
      <c r="F1" s="7"/>
      <c r="G1" s="7"/>
      <c r="H1" s="6" t="s">
        <v>3</v>
      </c>
      <c r="I1" s="6" t="s">
        <v>10</v>
      </c>
      <c r="J1" s="6" t="s">
        <v>11</v>
      </c>
      <c r="K1" s="6" t="s">
        <v>4</v>
      </c>
      <c r="L1" s="6" t="s">
        <v>12</v>
      </c>
    </row>
    <row r="2" spans="1:12" x14ac:dyDescent="0.25">
      <c r="A2" s="6"/>
      <c r="B2" s="6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/>
      <c r="I2" s="6"/>
      <c r="J2" s="6"/>
      <c r="K2" s="6"/>
      <c r="L2" s="6"/>
    </row>
    <row r="3" spans="1:12" x14ac:dyDescent="0.25">
      <c r="A3" s="1">
        <v>1</v>
      </c>
      <c r="B3" s="1">
        <v>1</v>
      </c>
      <c r="C3" s="1">
        <v>1</v>
      </c>
      <c r="D3" s="1">
        <v>4</v>
      </c>
      <c r="E3" s="1">
        <v>128</v>
      </c>
      <c r="F3" s="1">
        <v>1</v>
      </c>
      <c r="G3" s="1">
        <v>1</v>
      </c>
      <c r="H3" s="4">
        <v>1936660</v>
      </c>
      <c r="I3" s="1">
        <v>6.11</v>
      </c>
      <c r="J3" s="1">
        <v>3.29</v>
      </c>
      <c r="K3" s="1">
        <v>238.71</v>
      </c>
      <c r="L3" s="3" t="s">
        <v>13</v>
      </c>
    </row>
    <row r="4" spans="1:12" x14ac:dyDescent="0.25">
      <c r="A4" s="1">
        <v>1</v>
      </c>
      <c r="B4" s="1">
        <v>2</v>
      </c>
      <c r="C4" s="1">
        <v>1</v>
      </c>
      <c r="D4" s="1">
        <v>4</v>
      </c>
      <c r="E4" s="1">
        <v>64</v>
      </c>
      <c r="F4" s="1">
        <v>1</v>
      </c>
      <c r="G4" s="1">
        <v>1</v>
      </c>
      <c r="H4" s="4">
        <v>1936660</v>
      </c>
      <c r="I4" s="1">
        <v>6.38</v>
      </c>
      <c r="J4" s="1">
        <v>3.57</v>
      </c>
      <c r="K4" s="1">
        <v>122.28</v>
      </c>
      <c r="L4" s="3">
        <f t="shared" ref="L4:L11" si="0">100*$K$3/(K4*B4)</f>
        <v>97.607948969578018</v>
      </c>
    </row>
    <row r="5" spans="1:12" x14ac:dyDescent="0.25">
      <c r="A5" s="1">
        <v>1</v>
      </c>
      <c r="B5" s="1">
        <v>4</v>
      </c>
      <c r="C5" s="1">
        <v>1</v>
      </c>
      <c r="D5" s="1">
        <v>4</v>
      </c>
      <c r="E5" s="1">
        <v>64</v>
      </c>
      <c r="F5" s="1">
        <v>1</v>
      </c>
      <c r="G5" s="1">
        <v>1</v>
      </c>
      <c r="H5" s="4">
        <v>1936660</v>
      </c>
      <c r="I5" s="1">
        <v>6.72</v>
      </c>
      <c r="J5" s="3">
        <v>4.03</v>
      </c>
      <c r="K5" s="3">
        <v>61.6</v>
      </c>
      <c r="L5" s="3">
        <f t="shared" si="0"/>
        <v>96.879058441558442</v>
      </c>
    </row>
    <row r="6" spans="1:12" x14ac:dyDescent="0.25">
      <c r="A6" s="1">
        <v>1</v>
      </c>
      <c r="B6" s="1">
        <v>6</v>
      </c>
      <c r="C6" s="1">
        <v>1</v>
      </c>
      <c r="D6" s="1">
        <v>4</v>
      </c>
      <c r="E6" s="1">
        <v>64</v>
      </c>
      <c r="F6" s="1">
        <v>1</v>
      </c>
      <c r="G6" s="1">
        <v>1</v>
      </c>
      <c r="H6" s="4">
        <v>1936660</v>
      </c>
      <c r="I6" s="1">
        <v>6.93</v>
      </c>
      <c r="J6" s="1">
        <v>4.1900000000000004</v>
      </c>
      <c r="K6" s="1">
        <v>41.36</v>
      </c>
      <c r="L6" s="3">
        <f t="shared" si="0"/>
        <v>96.19197292069633</v>
      </c>
    </row>
    <row r="7" spans="1:12" x14ac:dyDescent="0.25">
      <c r="A7" s="1">
        <v>1</v>
      </c>
      <c r="B7" s="1">
        <v>8</v>
      </c>
      <c r="C7" s="1">
        <v>1</v>
      </c>
      <c r="D7" s="1">
        <v>4</v>
      </c>
      <c r="E7" s="1">
        <v>64</v>
      </c>
      <c r="F7" s="1">
        <v>1</v>
      </c>
      <c r="G7" s="1">
        <v>1</v>
      </c>
      <c r="H7" s="4">
        <v>1936660</v>
      </c>
      <c r="I7" s="3">
        <v>7.1</v>
      </c>
      <c r="J7" s="3">
        <v>4.4000000000000004</v>
      </c>
      <c r="K7" s="1">
        <v>31.03</v>
      </c>
      <c r="L7" s="3">
        <f t="shared" si="0"/>
        <v>96.160973251691914</v>
      </c>
    </row>
    <row r="8" spans="1:12" x14ac:dyDescent="0.25">
      <c r="A8" s="1">
        <v>2</v>
      </c>
      <c r="B8" s="1">
        <v>10</v>
      </c>
      <c r="C8" s="1">
        <v>1</v>
      </c>
      <c r="D8" s="1">
        <v>4</v>
      </c>
      <c r="E8" s="1">
        <v>64</v>
      </c>
      <c r="F8" s="1">
        <v>1</v>
      </c>
      <c r="G8" s="1">
        <v>1</v>
      </c>
      <c r="H8" s="4">
        <v>1936660</v>
      </c>
      <c r="I8" s="1">
        <v>7.22</v>
      </c>
      <c r="J8" s="1">
        <v>4.53</v>
      </c>
      <c r="K8" s="1">
        <v>26.87</v>
      </c>
      <c r="L8" s="3">
        <f t="shared" si="0"/>
        <v>88.838853740230746</v>
      </c>
    </row>
    <row r="9" spans="1:12" x14ac:dyDescent="0.25">
      <c r="A9" s="1">
        <v>2</v>
      </c>
      <c r="B9" s="1">
        <v>12</v>
      </c>
      <c r="C9" s="1">
        <v>1</v>
      </c>
      <c r="D9" s="1">
        <v>4</v>
      </c>
      <c r="E9" s="1">
        <v>64</v>
      </c>
      <c r="F9" s="1">
        <v>1</v>
      </c>
      <c r="G9" s="1">
        <v>1</v>
      </c>
      <c r="H9" s="4">
        <v>1936660</v>
      </c>
      <c r="I9" s="1">
        <v>7.38</v>
      </c>
      <c r="J9" s="1">
        <v>4.62</v>
      </c>
      <c r="K9" s="1">
        <v>21.46</v>
      </c>
      <c r="L9" s="3">
        <f t="shared" si="0"/>
        <v>92.695712954333644</v>
      </c>
    </row>
    <row r="10" spans="1:12" x14ac:dyDescent="0.25">
      <c r="A10" s="1">
        <v>2</v>
      </c>
      <c r="B10" s="1">
        <v>14</v>
      </c>
      <c r="C10" s="1">
        <v>1</v>
      </c>
      <c r="D10" s="1">
        <v>4</v>
      </c>
      <c r="E10" s="1">
        <v>64</v>
      </c>
      <c r="F10" s="1">
        <v>1</v>
      </c>
      <c r="G10" s="1">
        <v>1</v>
      </c>
      <c r="H10" s="4">
        <v>1936660</v>
      </c>
      <c r="I10" s="3">
        <v>7.5</v>
      </c>
      <c r="J10" s="3">
        <v>4.7300000000000004</v>
      </c>
      <c r="K10" s="3">
        <v>18.100000000000001</v>
      </c>
      <c r="L10" s="3">
        <f t="shared" si="0"/>
        <v>94.20284135753748</v>
      </c>
    </row>
    <row r="11" spans="1:12" x14ac:dyDescent="0.25">
      <c r="A11" s="1">
        <v>2</v>
      </c>
      <c r="B11" s="1">
        <v>16</v>
      </c>
      <c r="C11" s="1">
        <v>1</v>
      </c>
      <c r="D11" s="1">
        <v>4</v>
      </c>
      <c r="E11" s="1">
        <v>64</v>
      </c>
      <c r="F11" s="1">
        <v>1</v>
      </c>
      <c r="G11" s="1">
        <v>1</v>
      </c>
      <c r="H11" s="4">
        <v>1936660</v>
      </c>
      <c r="I11" s="3">
        <v>7.61</v>
      </c>
      <c r="J11" s="1">
        <v>4.7699999999999996</v>
      </c>
      <c r="K11" s="1">
        <v>16.350000000000001</v>
      </c>
      <c r="L11" s="3">
        <f t="shared" si="0"/>
        <v>91.249999999999986</v>
      </c>
    </row>
    <row r="15" spans="1:12" x14ac:dyDescent="0.25">
      <c r="A15" s="6" t="s">
        <v>1</v>
      </c>
      <c r="B15" s="6" t="s">
        <v>4</v>
      </c>
    </row>
    <row r="16" spans="1:12" x14ac:dyDescent="0.25">
      <c r="A16" s="6"/>
      <c r="B16" s="6"/>
    </row>
    <row r="17" spans="1:2" x14ac:dyDescent="0.25">
      <c r="A17" s="1">
        <v>1</v>
      </c>
      <c r="B17" s="1">
        <v>238.71</v>
      </c>
    </row>
    <row r="18" spans="1:2" x14ac:dyDescent="0.25">
      <c r="A18" s="1">
        <v>2</v>
      </c>
      <c r="B18" s="1">
        <v>122.28</v>
      </c>
    </row>
    <row r="19" spans="1:2" x14ac:dyDescent="0.25">
      <c r="A19" s="1">
        <v>4</v>
      </c>
      <c r="B19" s="3">
        <v>61.6</v>
      </c>
    </row>
    <row r="20" spans="1:2" x14ac:dyDescent="0.25">
      <c r="A20" s="1">
        <v>6</v>
      </c>
      <c r="B20" s="1">
        <v>41.36</v>
      </c>
    </row>
    <row r="21" spans="1:2" x14ac:dyDescent="0.25">
      <c r="A21" s="1">
        <v>8</v>
      </c>
      <c r="B21" s="1">
        <v>31.03</v>
      </c>
    </row>
    <row r="22" spans="1:2" x14ac:dyDescent="0.25">
      <c r="A22" s="1">
        <v>10</v>
      </c>
      <c r="B22" s="1">
        <v>26.87</v>
      </c>
    </row>
    <row r="23" spans="1:2" x14ac:dyDescent="0.25">
      <c r="A23" s="1">
        <v>12</v>
      </c>
      <c r="B23" s="1">
        <v>21.46</v>
      </c>
    </row>
    <row r="24" spans="1:2" x14ac:dyDescent="0.25">
      <c r="A24" s="1">
        <v>14</v>
      </c>
      <c r="B24" s="3">
        <v>18.100000000000001</v>
      </c>
    </row>
    <row r="25" spans="1:2" x14ac:dyDescent="0.25">
      <c r="A25" s="1">
        <v>16</v>
      </c>
      <c r="B25" s="1">
        <v>16.350000000000001</v>
      </c>
    </row>
  </sheetData>
  <mergeCells count="10">
    <mergeCell ref="K1:K2"/>
    <mergeCell ref="L1:L2"/>
    <mergeCell ref="A15:A16"/>
    <mergeCell ref="B15:B16"/>
    <mergeCell ref="A1:A2"/>
    <mergeCell ref="B1:B2"/>
    <mergeCell ref="C1:G1"/>
    <mergeCell ref="H1:H2"/>
    <mergeCell ref="I1:I2"/>
    <mergeCell ref="J1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46D8-C6ED-4585-B25E-239DA02DC9CB}">
  <dimension ref="A1:L25"/>
  <sheetViews>
    <sheetView topLeftCell="B10" workbookViewId="0">
      <selection activeCell="M3" sqref="M3"/>
    </sheetView>
  </sheetViews>
  <sheetFormatPr defaultRowHeight="15" x14ac:dyDescent="0.25"/>
  <cols>
    <col min="2" max="2" width="37" customWidth="1"/>
    <col min="3" max="3" width="19.5703125" customWidth="1"/>
    <col min="4" max="4" width="15.28515625" customWidth="1"/>
    <col min="5" max="5" width="20.85546875" customWidth="1"/>
    <col min="6" max="6" width="23.28515625" customWidth="1"/>
    <col min="7" max="7" width="31.140625" customWidth="1"/>
    <col min="8" max="8" width="15.140625" customWidth="1"/>
    <col min="9" max="9" width="13.42578125" customWidth="1"/>
    <col min="10" max="10" width="12.28515625" customWidth="1"/>
    <col min="11" max="11" width="36.7109375" customWidth="1"/>
    <col min="12" max="12" width="20.5703125" customWidth="1"/>
  </cols>
  <sheetData>
    <row r="1" spans="1:12" x14ac:dyDescent="0.25">
      <c r="A1" s="6" t="s">
        <v>0</v>
      </c>
      <c r="B1" s="6" t="s">
        <v>1</v>
      </c>
      <c r="C1" s="7" t="s">
        <v>2</v>
      </c>
      <c r="D1" s="7"/>
      <c r="E1" s="7"/>
      <c r="F1" s="7"/>
      <c r="G1" s="7"/>
      <c r="H1" s="6" t="s">
        <v>3</v>
      </c>
      <c r="I1" s="6" t="s">
        <v>10</v>
      </c>
      <c r="J1" s="6" t="s">
        <v>11</v>
      </c>
      <c r="K1" s="6" t="s">
        <v>4</v>
      </c>
      <c r="L1" s="6" t="s">
        <v>12</v>
      </c>
    </row>
    <row r="2" spans="1:12" x14ac:dyDescent="0.25">
      <c r="A2" s="6"/>
      <c r="B2" s="6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/>
      <c r="I2" s="6"/>
      <c r="J2" s="6"/>
      <c r="K2" s="6"/>
      <c r="L2" s="6"/>
    </row>
    <row r="3" spans="1:12" x14ac:dyDescent="0.25">
      <c r="A3" s="1">
        <v>1</v>
      </c>
      <c r="B3" s="1">
        <v>1</v>
      </c>
      <c r="C3" s="1">
        <v>1</v>
      </c>
      <c r="D3" s="1">
        <v>4</v>
      </c>
      <c r="E3" s="1">
        <v>128</v>
      </c>
      <c r="F3" s="1">
        <v>1</v>
      </c>
      <c r="G3" s="1">
        <v>1</v>
      </c>
      <c r="H3" s="4">
        <v>1992160</v>
      </c>
      <c r="I3" s="3">
        <v>2.15</v>
      </c>
      <c r="J3" s="3">
        <v>1.64</v>
      </c>
      <c r="K3" s="3">
        <v>2141.2800000000002</v>
      </c>
      <c r="L3" s="3" t="s">
        <v>13</v>
      </c>
    </row>
    <row r="4" spans="1:12" x14ac:dyDescent="0.25">
      <c r="A4" s="1">
        <v>1</v>
      </c>
      <c r="B4" s="1">
        <v>2</v>
      </c>
      <c r="C4" s="1">
        <v>1</v>
      </c>
      <c r="D4" s="1">
        <v>4</v>
      </c>
      <c r="E4" s="1">
        <v>64</v>
      </c>
      <c r="F4" s="1">
        <v>1</v>
      </c>
      <c r="G4" s="1">
        <v>1</v>
      </c>
      <c r="H4" s="4">
        <v>1992160</v>
      </c>
      <c r="I4" s="3">
        <v>2.15</v>
      </c>
      <c r="J4" s="3">
        <v>1.5</v>
      </c>
      <c r="K4" s="3">
        <v>1092.43</v>
      </c>
      <c r="L4" s="3">
        <f t="shared" ref="L4:L11" si="0">100*$K$3/(K4*B4)</f>
        <v>98.005364188094433</v>
      </c>
    </row>
    <row r="5" spans="1:12" x14ac:dyDescent="0.25">
      <c r="A5" s="1">
        <v>1</v>
      </c>
      <c r="B5" s="1">
        <v>4</v>
      </c>
      <c r="C5" s="1">
        <v>1</v>
      </c>
      <c r="D5" s="1">
        <v>4</v>
      </c>
      <c r="E5" s="1">
        <v>64</v>
      </c>
      <c r="F5" s="1">
        <v>1</v>
      </c>
      <c r="G5" s="1">
        <v>1</v>
      </c>
      <c r="H5" s="4">
        <v>1992160</v>
      </c>
      <c r="I5" s="3">
        <v>2.16</v>
      </c>
      <c r="J5" s="3">
        <v>1.41</v>
      </c>
      <c r="K5" s="3">
        <v>545.07000000000005</v>
      </c>
      <c r="L5" s="3">
        <f t="shared" si="0"/>
        <v>98.21123892344103</v>
      </c>
    </row>
    <row r="6" spans="1:12" x14ac:dyDescent="0.25">
      <c r="A6" s="1">
        <v>1</v>
      </c>
      <c r="B6" s="1">
        <v>6</v>
      </c>
      <c r="C6" s="1">
        <v>1</v>
      </c>
      <c r="D6" s="1">
        <v>4</v>
      </c>
      <c r="E6" s="1">
        <v>64</v>
      </c>
      <c r="F6" s="1">
        <v>1</v>
      </c>
      <c r="G6" s="1">
        <v>1</v>
      </c>
      <c r="H6" s="4">
        <v>1992160</v>
      </c>
      <c r="I6" s="3">
        <v>2.16</v>
      </c>
      <c r="J6" s="3">
        <v>1.37</v>
      </c>
      <c r="K6" s="3">
        <v>369.43</v>
      </c>
      <c r="L6" s="3">
        <f t="shared" si="0"/>
        <v>96.602874698860418</v>
      </c>
    </row>
    <row r="7" spans="1:12" x14ac:dyDescent="0.25">
      <c r="A7" s="1">
        <v>1</v>
      </c>
      <c r="B7" s="1">
        <v>8</v>
      </c>
      <c r="C7" s="1">
        <v>1</v>
      </c>
      <c r="D7" s="1">
        <v>4</v>
      </c>
      <c r="E7" s="1">
        <v>64</v>
      </c>
      <c r="F7" s="1">
        <v>1</v>
      </c>
      <c r="G7" s="1">
        <v>1</v>
      </c>
      <c r="H7" s="4">
        <v>1992160</v>
      </c>
      <c r="I7" s="3">
        <v>2.17</v>
      </c>
      <c r="J7" s="3">
        <v>1.37</v>
      </c>
      <c r="K7" s="3">
        <v>278.64</v>
      </c>
      <c r="L7" s="3">
        <f t="shared" si="0"/>
        <v>96.059431524547819</v>
      </c>
    </row>
    <row r="8" spans="1:12" x14ac:dyDescent="0.25">
      <c r="A8" s="1">
        <v>2</v>
      </c>
      <c r="B8" s="1">
        <v>10</v>
      </c>
      <c r="C8" s="1">
        <v>1</v>
      </c>
      <c r="D8" s="1">
        <v>4</v>
      </c>
      <c r="E8" s="1">
        <v>64</v>
      </c>
      <c r="F8" s="1">
        <v>1</v>
      </c>
      <c r="G8" s="1">
        <v>1</v>
      </c>
      <c r="H8" s="4">
        <v>1992160</v>
      </c>
      <c r="I8" s="3">
        <v>2.17</v>
      </c>
      <c r="J8" s="3">
        <v>1.37</v>
      </c>
      <c r="K8" s="3">
        <v>230.43</v>
      </c>
      <c r="L8" s="3">
        <f t="shared" si="0"/>
        <v>92.925400338497596</v>
      </c>
    </row>
    <row r="9" spans="1:12" x14ac:dyDescent="0.25">
      <c r="A9" s="1">
        <v>2</v>
      </c>
      <c r="B9" s="1">
        <v>12</v>
      </c>
      <c r="C9" s="1">
        <v>1</v>
      </c>
      <c r="D9" s="1">
        <v>4</v>
      </c>
      <c r="E9" s="1">
        <v>64</v>
      </c>
      <c r="F9" s="1">
        <v>1</v>
      </c>
      <c r="G9" s="1">
        <v>1</v>
      </c>
      <c r="H9" s="4">
        <v>1992160</v>
      </c>
      <c r="I9" s="3">
        <v>2.17</v>
      </c>
      <c r="J9" s="3">
        <v>1.37</v>
      </c>
      <c r="K9" s="3">
        <v>222.13</v>
      </c>
      <c r="L9" s="3">
        <f t="shared" si="0"/>
        <v>80.33133750506461</v>
      </c>
    </row>
    <row r="10" spans="1:12" x14ac:dyDescent="0.25">
      <c r="A10" s="1">
        <v>2</v>
      </c>
      <c r="B10" s="1">
        <v>14</v>
      </c>
      <c r="C10" s="1">
        <v>1</v>
      </c>
      <c r="D10" s="1">
        <v>4</v>
      </c>
      <c r="E10" s="1">
        <v>64</v>
      </c>
      <c r="F10" s="1">
        <v>1</v>
      </c>
      <c r="G10" s="1">
        <v>1</v>
      </c>
      <c r="H10" s="4">
        <v>1992160</v>
      </c>
      <c r="I10" s="3">
        <v>2.1800000000000002</v>
      </c>
      <c r="J10" s="3">
        <v>1.38</v>
      </c>
      <c r="K10" s="3">
        <v>193.11</v>
      </c>
      <c r="L10" s="3">
        <f t="shared" si="0"/>
        <v>79.202822965445321</v>
      </c>
    </row>
    <row r="11" spans="1:12" x14ac:dyDescent="0.25">
      <c r="A11" s="1">
        <v>2</v>
      </c>
      <c r="B11" s="1">
        <v>16</v>
      </c>
      <c r="C11" s="1">
        <v>1</v>
      </c>
      <c r="D11" s="1">
        <v>4</v>
      </c>
      <c r="E11" s="1">
        <v>64</v>
      </c>
      <c r="F11" s="1">
        <v>1</v>
      </c>
      <c r="G11" s="1">
        <v>1</v>
      </c>
      <c r="H11" s="4">
        <v>1992160</v>
      </c>
      <c r="I11" s="3">
        <v>2.1800000000000002</v>
      </c>
      <c r="J11" s="3">
        <v>1.38</v>
      </c>
      <c r="K11" s="3">
        <v>141.6</v>
      </c>
      <c r="L11" s="3">
        <f t="shared" si="0"/>
        <v>94.512711864406796</v>
      </c>
    </row>
    <row r="15" spans="1:12" x14ac:dyDescent="0.25">
      <c r="A15" s="6" t="s">
        <v>1</v>
      </c>
      <c r="B15" s="6" t="s">
        <v>4</v>
      </c>
    </row>
    <row r="16" spans="1:12" x14ac:dyDescent="0.25">
      <c r="A16" s="6"/>
      <c r="B16" s="6"/>
    </row>
    <row r="17" spans="1:2" x14ac:dyDescent="0.25">
      <c r="A17" s="1">
        <v>1</v>
      </c>
      <c r="B17" s="3">
        <v>2141.2800000000002</v>
      </c>
    </row>
    <row r="18" spans="1:2" x14ac:dyDescent="0.25">
      <c r="A18" s="1">
        <v>2</v>
      </c>
      <c r="B18" s="3">
        <v>1092.43</v>
      </c>
    </row>
    <row r="19" spans="1:2" x14ac:dyDescent="0.25">
      <c r="A19" s="1">
        <v>4</v>
      </c>
      <c r="B19" s="3">
        <v>545.07000000000005</v>
      </c>
    </row>
    <row r="20" spans="1:2" x14ac:dyDescent="0.25">
      <c r="A20" s="1">
        <v>6</v>
      </c>
      <c r="B20" s="3">
        <v>369.43</v>
      </c>
    </row>
    <row r="21" spans="1:2" x14ac:dyDescent="0.25">
      <c r="A21" s="1">
        <v>8</v>
      </c>
      <c r="B21" s="3">
        <v>278.64</v>
      </c>
    </row>
    <row r="22" spans="1:2" x14ac:dyDescent="0.25">
      <c r="A22" s="1">
        <v>10</v>
      </c>
      <c r="B22" s="3">
        <v>230.43</v>
      </c>
    </row>
    <row r="23" spans="1:2" x14ac:dyDescent="0.25">
      <c r="A23" s="1">
        <v>12</v>
      </c>
      <c r="B23" s="3">
        <v>222.13</v>
      </c>
    </row>
    <row r="24" spans="1:2" x14ac:dyDescent="0.25">
      <c r="A24" s="1">
        <v>14</v>
      </c>
      <c r="B24" s="3">
        <v>193.11</v>
      </c>
    </row>
    <row r="25" spans="1:2" x14ac:dyDescent="0.25">
      <c r="A25" s="1">
        <v>16</v>
      </c>
      <c r="B25" s="3">
        <v>141.6</v>
      </c>
    </row>
  </sheetData>
  <mergeCells count="10">
    <mergeCell ref="K1:K2"/>
    <mergeCell ref="L1:L2"/>
    <mergeCell ref="A15:A16"/>
    <mergeCell ref="B15:B16"/>
    <mergeCell ref="A1:A2"/>
    <mergeCell ref="B1:B2"/>
    <mergeCell ref="C1:G1"/>
    <mergeCell ref="H1:H2"/>
    <mergeCell ref="I1:I2"/>
    <mergeCell ref="J1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7886-EE5D-449F-B2C7-77DF7063AA6E}">
  <dimension ref="A1:E11"/>
  <sheetViews>
    <sheetView tabSelected="1" topLeftCell="A10" zoomScale="90" zoomScaleNormal="90" workbookViewId="0">
      <selection activeCell="C24" sqref="C24"/>
    </sheetView>
  </sheetViews>
  <sheetFormatPr defaultRowHeight="15" x14ac:dyDescent="0.25"/>
  <cols>
    <col min="2" max="2" width="45.5703125" customWidth="1"/>
    <col min="3" max="3" width="42.140625" customWidth="1"/>
    <col min="4" max="4" width="44.7109375" customWidth="1"/>
    <col min="5" max="5" width="49.28515625" customWidth="1"/>
  </cols>
  <sheetData>
    <row r="1" spans="1:5" x14ac:dyDescent="0.25">
      <c r="A1" s="6" t="s">
        <v>1</v>
      </c>
      <c r="B1" s="6" t="s">
        <v>14</v>
      </c>
      <c r="C1" s="6" t="s">
        <v>15</v>
      </c>
      <c r="D1" s="6" t="s">
        <v>16</v>
      </c>
      <c r="E1" s="6" t="s">
        <v>17</v>
      </c>
    </row>
    <row r="2" spans="1:5" x14ac:dyDescent="0.25">
      <c r="A2" s="6"/>
      <c r="B2" s="6"/>
      <c r="C2" s="6"/>
      <c r="D2" s="6"/>
      <c r="E2" s="6"/>
    </row>
    <row r="3" spans="1:5" x14ac:dyDescent="0.25">
      <c r="A3" s="1">
        <v>1</v>
      </c>
      <c r="B3" s="1">
        <v>206.76</v>
      </c>
      <c r="C3" s="1">
        <v>179.19</v>
      </c>
      <c r="D3" s="1">
        <v>238.71</v>
      </c>
      <c r="E3" s="3">
        <v>2141.2800000000002</v>
      </c>
    </row>
    <row r="4" spans="1:5" x14ac:dyDescent="0.25">
      <c r="A4" s="1">
        <v>2</v>
      </c>
      <c r="B4" s="1">
        <v>104.91</v>
      </c>
      <c r="C4" s="1">
        <v>91.78</v>
      </c>
      <c r="D4" s="1">
        <v>122.28</v>
      </c>
      <c r="E4" s="3">
        <v>1092.43</v>
      </c>
    </row>
    <row r="5" spans="1:5" x14ac:dyDescent="0.25">
      <c r="A5" s="1">
        <v>4</v>
      </c>
      <c r="B5" s="1">
        <v>53.31</v>
      </c>
      <c r="C5" s="1">
        <v>46.29</v>
      </c>
      <c r="D5" s="3">
        <v>61.6</v>
      </c>
      <c r="E5" s="3">
        <v>545.07000000000005</v>
      </c>
    </row>
    <row r="6" spans="1:5" x14ac:dyDescent="0.25">
      <c r="A6" s="1">
        <v>6</v>
      </c>
      <c r="B6" s="1">
        <v>35.69</v>
      </c>
      <c r="C6" s="1">
        <v>31.16</v>
      </c>
      <c r="D6" s="1">
        <v>41.36</v>
      </c>
      <c r="E6" s="3">
        <v>369.43</v>
      </c>
    </row>
    <row r="7" spans="1:5" x14ac:dyDescent="0.25">
      <c r="A7" s="1">
        <v>8</v>
      </c>
      <c r="B7" s="1">
        <v>26.92</v>
      </c>
      <c r="C7" s="1">
        <v>23.49</v>
      </c>
      <c r="D7" s="1">
        <v>31.03</v>
      </c>
      <c r="E7" s="3">
        <v>278.64</v>
      </c>
    </row>
    <row r="8" spans="1:5" x14ac:dyDescent="0.25">
      <c r="A8" s="1">
        <v>10</v>
      </c>
      <c r="B8" s="1">
        <v>24.32</v>
      </c>
      <c r="C8" s="1">
        <v>19.91</v>
      </c>
      <c r="D8" s="1">
        <v>26.87</v>
      </c>
      <c r="E8" s="3">
        <v>230.43</v>
      </c>
    </row>
    <row r="9" spans="1:5" x14ac:dyDescent="0.25">
      <c r="A9" s="1">
        <v>12</v>
      </c>
      <c r="B9" s="1">
        <v>18.350000000000001</v>
      </c>
      <c r="C9" s="1">
        <v>15.94</v>
      </c>
      <c r="D9" s="1">
        <v>21.46</v>
      </c>
      <c r="E9" s="3">
        <v>222.13</v>
      </c>
    </row>
    <row r="10" spans="1:5" x14ac:dyDescent="0.25">
      <c r="A10" s="1">
        <v>14</v>
      </c>
      <c r="B10" s="1">
        <v>17.72</v>
      </c>
      <c r="C10" s="1">
        <v>13.51</v>
      </c>
      <c r="D10" s="3">
        <v>18.100000000000001</v>
      </c>
      <c r="E10" s="3">
        <v>193.11</v>
      </c>
    </row>
    <row r="11" spans="1:5" x14ac:dyDescent="0.25">
      <c r="A11" s="1">
        <v>16</v>
      </c>
      <c r="B11" s="1">
        <v>13.45</v>
      </c>
      <c r="C11" s="1">
        <v>12.25</v>
      </c>
      <c r="D11" s="1">
        <v>16.350000000000001</v>
      </c>
      <c r="E11" s="3">
        <v>141.6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F3FE-2AB8-4D8D-9CF2-B12E1A96E134}">
  <dimension ref="A1:H11"/>
  <sheetViews>
    <sheetView topLeftCell="B1" workbookViewId="0">
      <selection activeCell="H12" sqref="H12"/>
    </sheetView>
  </sheetViews>
  <sheetFormatPr defaultRowHeight="15" x14ac:dyDescent="0.25"/>
  <cols>
    <col min="1" max="1" width="32.42578125" customWidth="1"/>
    <col min="2" max="2" width="31.140625" customWidth="1"/>
    <col min="7" max="7" width="33.140625" customWidth="1"/>
    <col min="8" max="8" width="27.5703125" customWidth="1"/>
  </cols>
  <sheetData>
    <row r="1" spans="1:8" ht="45" x14ac:dyDescent="0.25">
      <c r="A1" s="5" t="s">
        <v>18</v>
      </c>
      <c r="B1" s="5" t="s">
        <v>19</v>
      </c>
      <c r="G1" s="5" t="s">
        <v>20</v>
      </c>
      <c r="H1" s="5" t="s">
        <v>21</v>
      </c>
    </row>
    <row r="2" spans="1:8" x14ac:dyDescent="0.25">
      <c r="A2" s="3">
        <v>2.1509999999999998</v>
      </c>
      <c r="B2" s="3">
        <f>EXP(A2)</f>
        <v>8.593447549435437</v>
      </c>
      <c r="G2" s="3">
        <v>2.72</v>
      </c>
      <c r="H2" s="3">
        <f>EXP(G2)</f>
        <v>15.180322244953899</v>
      </c>
    </row>
    <row r="3" spans="1:8" x14ac:dyDescent="0.25">
      <c r="A3" s="3">
        <v>1.9281999999999999</v>
      </c>
      <c r="B3" s="3">
        <f t="shared" ref="B3:B11" si="0">EXP(A3)</f>
        <v>6.8771202774594462</v>
      </c>
      <c r="G3" s="3">
        <v>2.5499999999999998</v>
      </c>
      <c r="H3" s="3">
        <f t="shared" ref="H3:H11" si="1">EXP(G3)</f>
        <v>12.807103782663029</v>
      </c>
    </row>
    <row r="4" spans="1:8" x14ac:dyDescent="0.25">
      <c r="A4" s="3">
        <v>1.8418000000000001</v>
      </c>
      <c r="B4" s="3">
        <f t="shared" si="0"/>
        <v>6.3078822364114782</v>
      </c>
      <c r="G4" s="3">
        <v>2.44</v>
      </c>
      <c r="H4" s="3">
        <f t="shared" si="1"/>
        <v>11.473040742794833</v>
      </c>
    </row>
    <row r="5" spans="1:8" x14ac:dyDescent="0.25">
      <c r="A5" s="3">
        <v>1.7882</v>
      </c>
      <c r="B5" s="3">
        <f t="shared" si="0"/>
        <v>5.9786811490374907</v>
      </c>
      <c r="G5" s="3">
        <v>2.36</v>
      </c>
      <c r="H5" s="3">
        <f t="shared" si="1"/>
        <v>10.59095145243378</v>
      </c>
    </row>
    <row r="6" spans="1:8" x14ac:dyDescent="0.25">
      <c r="A6" s="3">
        <v>1.7494000000000001</v>
      </c>
      <c r="B6" s="3">
        <f t="shared" si="0"/>
        <v>5.7511509500214748</v>
      </c>
      <c r="G6" s="3">
        <v>2.2799999999999998</v>
      </c>
      <c r="H6" s="3">
        <f t="shared" si="1"/>
        <v>9.7766804095289039</v>
      </c>
    </row>
    <row r="7" spans="1:8" x14ac:dyDescent="0.25">
      <c r="A7" s="3">
        <v>1.7186999999999999</v>
      </c>
      <c r="B7" s="3">
        <f t="shared" si="0"/>
        <v>5.5772732941548435</v>
      </c>
      <c r="G7" s="3">
        <v>2.21</v>
      </c>
      <c r="H7" s="3">
        <f t="shared" si="1"/>
        <v>9.1157163930403051</v>
      </c>
    </row>
    <row r="8" spans="1:8" x14ac:dyDescent="0.25">
      <c r="A8" s="3">
        <v>1.6934</v>
      </c>
      <c r="B8" s="3">
        <f t="shared" si="0"/>
        <v>5.4379382996585361</v>
      </c>
      <c r="G8" s="3">
        <v>2.15</v>
      </c>
      <c r="H8" s="3">
        <f t="shared" si="1"/>
        <v>8.5848583971778929</v>
      </c>
    </row>
    <row r="9" spans="1:8" x14ac:dyDescent="0.25">
      <c r="A9" s="3">
        <v>1.6716</v>
      </c>
      <c r="B9" s="3">
        <f t="shared" si="0"/>
        <v>5.3206740688593284</v>
      </c>
      <c r="G9" s="3">
        <v>2.09</v>
      </c>
      <c r="H9" s="3">
        <f t="shared" si="1"/>
        <v>8.084915164305059</v>
      </c>
    </row>
    <row r="10" spans="1:8" x14ac:dyDescent="0.25">
      <c r="A10" s="3">
        <v>1.6525000000000001</v>
      </c>
      <c r="B10" s="3">
        <f t="shared" si="0"/>
        <v>5.2200135621280808</v>
      </c>
      <c r="G10" s="3">
        <v>2.0299999999999998</v>
      </c>
      <c r="H10" s="3">
        <f t="shared" si="1"/>
        <v>7.6140863587799732</v>
      </c>
    </row>
    <row r="11" spans="1:8" x14ac:dyDescent="0.25">
      <c r="A11" s="3">
        <v>1.6353</v>
      </c>
      <c r="B11" s="3">
        <f t="shared" si="0"/>
        <v>5.130997065274963</v>
      </c>
      <c r="G11" s="3">
        <v>1.98</v>
      </c>
      <c r="H11" s="3">
        <f t="shared" si="1"/>
        <v>7.2427429851610121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T5-Small</vt:lpstr>
      <vt:lpstr>BERT</vt:lpstr>
      <vt:lpstr>RoBERTa</vt:lpstr>
      <vt:lpstr>Llama</vt:lpstr>
      <vt:lpstr>Combined Fine-Tuning Plots</vt:lpstr>
      <vt:lpstr>Llama Perplexity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Alam, Abrar</dc:creator>
  <cp:lastModifiedBy>Alam, Abrar</cp:lastModifiedBy>
  <dcterms:created xsi:type="dcterms:W3CDTF">2026-03-11T14:40:38Z</dcterms:created>
  <dcterms:modified xsi:type="dcterms:W3CDTF">2026-03-13T14:00:48Z</dcterms:modified>
</cp:coreProperties>
</file>