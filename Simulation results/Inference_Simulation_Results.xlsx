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365-my.sharepoint.com/personal/abrara_smu_edu/Documents/Desktop/"/>
    </mc:Choice>
  </mc:AlternateContent>
  <xr:revisionPtr revIDLastSave="642" documentId="8_{0A9D21EC-B1F4-48DA-AB20-D1C0025295C3}" xr6:coauthVersionLast="47" xr6:coauthVersionMax="47" xr10:uidLastSave="{A509A58B-A604-4FCF-AF28-27A310B23AC1}"/>
  <bookViews>
    <workbookView xWindow="-90" yWindow="0" windowWidth="13005" windowHeight="15405" xr2:uid="{3E6511A1-F1A7-4226-92B6-A69912FC89F6}"/>
  </bookViews>
  <sheets>
    <sheet name="T5-Small + AC" sheetId="1" r:id="rId1"/>
    <sheet name="BERT + AC" sheetId="2" r:id="rId2"/>
    <sheet name="RoBERTa + AC" sheetId="3" r:id="rId3"/>
    <sheet name="Llama-3.2-3B + AC" sheetId="4" r:id="rId4"/>
    <sheet name="Inference Time Scaling Plo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9" i="2"/>
  <c r="L8" i="2"/>
  <c r="L7" i="2"/>
  <c r="L6" i="2"/>
  <c r="L5" i="2"/>
  <c r="L4" i="2"/>
  <c r="L3" i="2"/>
  <c r="M4" i="2" s="1"/>
  <c r="L3" i="4"/>
  <c r="M4" i="4" s="1"/>
  <c r="M4" i="1"/>
  <c r="M5" i="1"/>
  <c r="M6" i="1"/>
  <c r="M7" i="1"/>
  <c r="M8" i="1"/>
  <c r="M9" i="1"/>
  <c r="M10" i="1"/>
  <c r="M11" i="1"/>
  <c r="L11" i="1"/>
  <c r="L10" i="1"/>
  <c r="L9" i="1"/>
  <c r="L8" i="1"/>
  <c r="L7" i="1"/>
  <c r="L6" i="1"/>
  <c r="L5" i="1"/>
  <c r="L4" i="1"/>
  <c r="L3" i="1"/>
  <c r="E11" i="5"/>
  <c r="E10" i="5"/>
  <c r="E9" i="5"/>
  <c r="E8" i="5"/>
  <c r="E7" i="5"/>
  <c r="E6" i="5"/>
  <c r="E5" i="5"/>
  <c r="E4" i="5"/>
  <c r="E3" i="5"/>
  <c r="D11" i="5"/>
  <c r="D10" i="5"/>
  <c r="D9" i="5"/>
  <c r="D8" i="5"/>
  <c r="D7" i="5"/>
  <c r="D6" i="5"/>
  <c r="D5" i="5"/>
  <c r="D4" i="5"/>
  <c r="D3" i="5"/>
  <c r="B24" i="4"/>
  <c r="B23" i="4"/>
  <c r="B22" i="4"/>
  <c r="B21" i="4"/>
  <c r="B20" i="4"/>
  <c r="B19" i="4"/>
  <c r="B18" i="4"/>
  <c r="B17" i="4"/>
  <c r="B16" i="4"/>
  <c r="L11" i="4"/>
  <c r="L10" i="4"/>
  <c r="L9" i="4"/>
  <c r="L8" i="4"/>
  <c r="L7" i="4"/>
  <c r="L6" i="4"/>
  <c r="L5" i="4"/>
  <c r="L4" i="4"/>
  <c r="B24" i="3"/>
  <c r="B23" i="3"/>
  <c r="B22" i="3"/>
  <c r="B21" i="3"/>
  <c r="B20" i="3"/>
  <c r="B19" i="3"/>
  <c r="B18" i="3"/>
  <c r="B17" i="3"/>
  <c r="B16" i="3"/>
  <c r="L11" i="3"/>
  <c r="L10" i="3"/>
  <c r="L9" i="3"/>
  <c r="L8" i="3"/>
  <c r="L7" i="3"/>
  <c r="L6" i="3"/>
  <c r="L5" i="3"/>
  <c r="L4" i="3"/>
  <c r="L3" i="3"/>
  <c r="M4" i="3" s="1"/>
  <c r="M11" i="2" l="1"/>
  <c r="M10" i="2"/>
  <c r="M9" i="2"/>
  <c r="M8" i="2"/>
  <c r="M7" i="2"/>
  <c r="M6" i="2"/>
  <c r="M5" i="2"/>
  <c r="M11" i="4"/>
  <c r="M10" i="4"/>
  <c r="M9" i="4"/>
  <c r="M8" i="4"/>
  <c r="M7" i="4"/>
  <c r="M6" i="4"/>
  <c r="M5" i="4"/>
  <c r="M11" i="3"/>
  <c r="M10" i="3"/>
  <c r="M9" i="3"/>
  <c r="M8" i="3"/>
  <c r="M7" i="3"/>
  <c r="M6" i="3"/>
  <c r="M5" i="3"/>
</calcChain>
</file>

<file path=xl/sharedStrings.xml><?xml version="1.0" encoding="utf-8"?>
<sst xmlns="http://schemas.openxmlformats.org/spreadsheetml/2006/main" count="141" uniqueCount="29">
  <si>
    <t>Nodes</t>
  </si>
  <si>
    <t>GPUs</t>
  </si>
  <si>
    <t>Relevant Parameters</t>
  </si>
  <si>
    <t>Inference Wall-Clock Time (minutes)</t>
  </si>
  <si>
    <t>Scaling Efficiency (%)</t>
  </si>
  <si>
    <t>MaxRSS (GB)</t>
  </si>
  <si>
    <t>Compression Ratio</t>
  </si>
  <si>
    <t>BPC</t>
  </si>
  <si>
    <t>BPT</t>
  </si>
  <si>
    <t>Cross-Entropy</t>
  </si>
  <si>
    <t>Perplexity</t>
  </si>
  <si>
    <t>KL-Divergence</t>
  </si>
  <si>
    <t>Reconstruction Accuracy (%)</t>
  </si>
  <si>
    <t>B_target</t>
  </si>
  <si>
    <t>No. of Streams per GPU Rank</t>
  </si>
  <si>
    <t>CPUs per Task</t>
  </si>
  <si>
    <t>Memory per GPU (GB)</t>
  </si>
  <si>
    <t>OMP NUM THREADS</t>
  </si>
  <si>
    <t>torch.set_num_threads()</t>
  </si>
  <si>
    <t>torch.set_num_interop_threads()</t>
  </si>
  <si>
    <t>T5-Small + AC (minutes)</t>
  </si>
  <si>
    <t>BERT + AC (minutes)</t>
  </si>
  <si>
    <t>RoBERTa + AC (minutes)</t>
  </si>
  <si>
    <t>Llama + AC (minutes)</t>
  </si>
  <si>
    <t>N/A</t>
  </si>
  <si>
    <t>Total Tokens</t>
  </si>
  <si>
    <t>CDF Total</t>
  </si>
  <si>
    <t>2^18</t>
  </si>
  <si>
    <t>2^20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</si>
</sst>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Inference Strong Scaling Analysis for T5-Small + 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T5_Small + AC</c:v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'T5-Small + AC'!$B$16:$B$24</c:f>
              <c:numCache>
                <c:formatCode>0.00</c:formatCode>
                <c:ptCount val="9"/>
                <c:pt idx="0" formatCode="General">
                  <c:v>48.86</c:v>
                </c:pt>
                <c:pt idx="1">
                  <c:v>24.17</c:v>
                </c:pt>
                <c:pt idx="2">
                  <c:v>12.13</c:v>
                </c:pt>
                <c:pt idx="3">
                  <c:v>8.1199999999999992</c:v>
                </c:pt>
                <c:pt idx="4">
                  <c:v>6.07</c:v>
                </c:pt>
                <c:pt idx="5">
                  <c:v>4.82</c:v>
                </c:pt>
                <c:pt idx="6">
                  <c:v>4.01</c:v>
                </c:pt>
                <c:pt idx="7">
                  <c:v>3.47</c:v>
                </c:pt>
                <c:pt idx="8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A-4738-8081-AEABAFA38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881583"/>
        <c:axId val="14918806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'T5-Small + AC'!$A$16:$A$24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5CA-4738-8081-AEABAFA38B51}"/>
                  </c:ext>
                </c:extLst>
              </c15:ser>
            </c15:filteredLineSeries>
          </c:ext>
        </c:extLst>
      </c:lineChart>
      <c:catAx>
        <c:axId val="149188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5065756587589084"/>
              <c:y val="0.9069792504303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80623"/>
        <c:crosses val="autoZero"/>
        <c:auto val="1"/>
        <c:lblAlgn val="ctr"/>
        <c:lblOffset val="100"/>
        <c:noMultiLvlLbl val="0"/>
      </c:catAx>
      <c:valAx>
        <c:axId val="149188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8.5705540250994791E-3"/>
              <c:y val="0.33539386288571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8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Inference Strong Scaling Analysis for BERT + 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BERT + AC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'BERT + AC'!$B$16:$B$24</c:f>
              <c:numCache>
                <c:formatCode>General</c:formatCode>
                <c:ptCount val="9"/>
                <c:pt idx="0">
                  <c:v>61.72</c:v>
                </c:pt>
                <c:pt idx="1">
                  <c:v>31.11</c:v>
                </c:pt>
                <c:pt idx="2">
                  <c:v>15.53</c:v>
                </c:pt>
                <c:pt idx="3">
                  <c:v>10.46</c:v>
                </c:pt>
                <c:pt idx="4">
                  <c:v>7.65</c:v>
                </c:pt>
                <c:pt idx="5">
                  <c:v>6.05</c:v>
                </c:pt>
                <c:pt idx="6">
                  <c:v>4.99</c:v>
                </c:pt>
                <c:pt idx="7">
                  <c:v>4.26</c:v>
                </c:pt>
                <c:pt idx="8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4C-498B-BBB5-55823F16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363391"/>
        <c:axId val="3113638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'BERT + AC'!$A$16:$A$24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4C-498B-BBB5-55823F160E42}"/>
                  </c:ext>
                </c:extLst>
              </c15:ser>
            </c15:filteredLineSeries>
          </c:ext>
        </c:extLst>
      </c:lineChart>
      <c:catAx>
        <c:axId val="31136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6669122131847462"/>
              <c:y val="0.89558477275062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63871"/>
        <c:crosses val="autoZero"/>
        <c:auto val="1"/>
        <c:lblAlgn val="ctr"/>
        <c:lblOffset val="100"/>
        <c:noMultiLvlLbl val="0"/>
      </c:catAx>
      <c:valAx>
        <c:axId val="31136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8.9955022488755615E-3"/>
              <c:y val="0.32810177504146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Inference Strong Scaling Analysis for RoBERTa + 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RoBERTa + AC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'RoBERTa + AC'!$B$16:$B$24</c:f>
              <c:numCache>
                <c:formatCode>0.00</c:formatCode>
                <c:ptCount val="9"/>
                <c:pt idx="0">
                  <c:v>74.700225000000003</c:v>
                </c:pt>
                <c:pt idx="1">
                  <c:v>37.17297833333334</c:v>
                </c:pt>
                <c:pt idx="2">
                  <c:v>18.103188333333332</c:v>
                </c:pt>
                <c:pt idx="3">
                  <c:v>12.168243333333333</c:v>
                </c:pt>
                <c:pt idx="4">
                  <c:v>9.2111000000000001</c:v>
                </c:pt>
                <c:pt idx="5">
                  <c:v>7.2764783333333334</c:v>
                </c:pt>
                <c:pt idx="6">
                  <c:v>6.2824066666666658</c:v>
                </c:pt>
                <c:pt idx="7">
                  <c:v>5.0704983333333331</c:v>
                </c:pt>
                <c:pt idx="8">
                  <c:v>4.3814633333333335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E-4887-B5D6-19C1F042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367231"/>
        <c:axId val="3113691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'RoBERTa + AC'!$A$16:$A$24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B4E-4887-B5D6-19C1F042D12E}"/>
                  </c:ext>
                </c:extLst>
              </c15:ser>
            </c15:filteredLineSeries>
          </c:ext>
        </c:extLst>
      </c:lineChart>
      <c:catAx>
        <c:axId val="31136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831343791949671"/>
              <c:y val="0.9029419053058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69151"/>
        <c:crosses val="autoZero"/>
        <c:auto val="1"/>
        <c:lblAlgn val="ctr"/>
        <c:lblOffset val="100"/>
        <c:noMultiLvlLbl val="0"/>
      </c:catAx>
      <c:valAx>
        <c:axId val="3113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7.1246819338422395E-3"/>
              <c:y val="0.31924448238771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Llama + AC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'Llama-3.2-3B + AC'!$B$16:$B$24</c:f>
              <c:numCache>
                <c:formatCode>0.00</c:formatCode>
                <c:ptCount val="9"/>
                <c:pt idx="0">
                  <c:v>175.11666666666667</c:v>
                </c:pt>
                <c:pt idx="1">
                  <c:v>87.652831666666671</c:v>
                </c:pt>
                <c:pt idx="2">
                  <c:v>43.298856666666666</c:v>
                </c:pt>
                <c:pt idx="3">
                  <c:v>28.700833333333332</c:v>
                </c:pt>
                <c:pt idx="4">
                  <c:v>21.085353333333334</c:v>
                </c:pt>
                <c:pt idx="5">
                  <c:v>16.948601666666669</c:v>
                </c:pt>
                <c:pt idx="6">
                  <c:v>14.18256</c:v>
                </c:pt>
                <c:pt idx="7">
                  <c:v>11.958656666666666</c:v>
                </c:pt>
                <c:pt idx="8">
                  <c:v>10.257661666666667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F-4CEB-8374-2CAD8813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094175"/>
        <c:axId val="14960936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'Llama-3.2-3B + AC'!$A$16:$A$24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20F-4CEB-8374-2CAD8813DA82}"/>
                  </c:ext>
                </c:extLst>
              </c15:ser>
            </c15:filteredLineSeries>
          </c:ext>
        </c:extLst>
      </c:lineChart>
      <c:catAx>
        <c:axId val="149609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3695"/>
        <c:crosses val="autoZero"/>
        <c:auto val="1"/>
        <c:lblAlgn val="ctr"/>
        <c:lblOffset val="100"/>
        <c:noMultiLvlLbl val="0"/>
      </c:catAx>
      <c:valAx>
        <c:axId val="14960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8.1799591002044997E-3"/>
              <c:y val="0.36301297462048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1"/>
          <c:order val="1"/>
          <c:tx>
            <c:v>T5-Small + AC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'Inference Time Scaling Plots'!$B$3:$B$11</c:f>
              <c:numCache>
                <c:formatCode>0.00</c:formatCode>
                <c:ptCount val="9"/>
                <c:pt idx="0" formatCode="General">
                  <c:v>48.86</c:v>
                </c:pt>
                <c:pt idx="1">
                  <c:v>24.17</c:v>
                </c:pt>
                <c:pt idx="2">
                  <c:v>12.13</c:v>
                </c:pt>
                <c:pt idx="3">
                  <c:v>8.1199999999999992</c:v>
                </c:pt>
                <c:pt idx="4">
                  <c:v>6.07</c:v>
                </c:pt>
                <c:pt idx="5">
                  <c:v>4.82</c:v>
                </c:pt>
                <c:pt idx="6">
                  <c:v>4.01</c:v>
                </c:pt>
                <c:pt idx="7">
                  <c:v>3.47</c:v>
                </c:pt>
                <c:pt idx="8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3-4680-9008-2B0F583F2B3A}"/>
            </c:ext>
          </c:extLst>
        </c:ser>
        <c:ser>
          <c:idx val="2"/>
          <c:order val="2"/>
          <c:tx>
            <c:v>BERT + AC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'Inference Time Scaling Plots'!$C$3:$C$11</c:f>
              <c:numCache>
                <c:formatCode>General</c:formatCode>
                <c:ptCount val="9"/>
                <c:pt idx="0">
                  <c:v>61.72</c:v>
                </c:pt>
                <c:pt idx="1">
                  <c:v>31.11</c:v>
                </c:pt>
                <c:pt idx="2">
                  <c:v>15.53</c:v>
                </c:pt>
                <c:pt idx="3">
                  <c:v>10.46</c:v>
                </c:pt>
                <c:pt idx="4">
                  <c:v>7.65</c:v>
                </c:pt>
                <c:pt idx="5">
                  <c:v>6.05</c:v>
                </c:pt>
                <c:pt idx="6">
                  <c:v>4.99</c:v>
                </c:pt>
                <c:pt idx="7">
                  <c:v>4.26</c:v>
                </c:pt>
                <c:pt idx="8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03-4680-9008-2B0F583F2B3A}"/>
            </c:ext>
          </c:extLst>
        </c:ser>
        <c:ser>
          <c:idx val="3"/>
          <c:order val="3"/>
          <c:tx>
            <c:v>RoBERTa + AC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'Inference Time Scaling Plots'!$D$3:$D$11</c:f>
              <c:numCache>
                <c:formatCode>0.00</c:formatCode>
                <c:ptCount val="9"/>
                <c:pt idx="0">
                  <c:v>74.700225000000003</c:v>
                </c:pt>
                <c:pt idx="1">
                  <c:v>37.17297833333334</c:v>
                </c:pt>
                <c:pt idx="2">
                  <c:v>18.103188333333332</c:v>
                </c:pt>
                <c:pt idx="3">
                  <c:v>12.168243333333333</c:v>
                </c:pt>
                <c:pt idx="4">
                  <c:v>9.2111000000000001</c:v>
                </c:pt>
                <c:pt idx="5">
                  <c:v>7.2764783333333334</c:v>
                </c:pt>
                <c:pt idx="6">
                  <c:v>6.2824066666666658</c:v>
                </c:pt>
                <c:pt idx="7">
                  <c:v>5.0704983333333331</c:v>
                </c:pt>
                <c:pt idx="8">
                  <c:v>4.3814633333333335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03-4680-9008-2B0F583F2B3A}"/>
            </c:ext>
          </c:extLst>
        </c:ser>
        <c:ser>
          <c:idx val="4"/>
          <c:order val="4"/>
          <c:tx>
            <c:v>Llama-3.2-3B + AC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'Inference Time Scaling Plots'!$E$3:$E$11</c:f>
              <c:numCache>
                <c:formatCode>0.00</c:formatCode>
                <c:ptCount val="9"/>
                <c:pt idx="0">
                  <c:v>175.11666666666667</c:v>
                </c:pt>
                <c:pt idx="1">
                  <c:v>87.652831666666671</c:v>
                </c:pt>
                <c:pt idx="2">
                  <c:v>43.298856666666666</c:v>
                </c:pt>
                <c:pt idx="3">
                  <c:v>28.700833333333332</c:v>
                </c:pt>
                <c:pt idx="4">
                  <c:v>21.085353333333334</c:v>
                </c:pt>
                <c:pt idx="5">
                  <c:v>16.948601666666669</c:v>
                </c:pt>
                <c:pt idx="6">
                  <c:v>14.18256</c:v>
                </c:pt>
                <c:pt idx="7">
                  <c:v>11.958656666666666</c:v>
                </c:pt>
                <c:pt idx="8">
                  <c:v>10.257661666666667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03-4680-9008-2B0F583F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843279"/>
        <c:axId val="3298437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'Inference Time Scaling Plots'!$A$3:$A$11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E03-4680-9008-2B0F583F2B3A}"/>
                  </c:ext>
                </c:extLst>
              </c15:ser>
            </c15:filteredLineSeries>
          </c:ext>
        </c:extLst>
      </c:lineChart>
      <c:catAx>
        <c:axId val="32984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7506882250405724"/>
              <c:y val="0.90481646958214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43759"/>
        <c:crosses val="autoZero"/>
        <c:auto val="1"/>
        <c:lblAlgn val="ctr"/>
        <c:lblOffset val="100"/>
        <c:noMultiLvlLbl val="0"/>
      </c:catAx>
      <c:valAx>
        <c:axId val="3298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1.0178117048346057E-2"/>
              <c:y val="0.32705741627555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4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13</xdr:row>
      <xdr:rowOff>4761</xdr:rowOff>
    </xdr:from>
    <xdr:to>
      <xdr:col>10</xdr:col>
      <xdr:colOff>809624</xdr:colOff>
      <xdr:row>46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2DC6A-4404-DB13-4728-EF9394EF8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14287</xdr:rowOff>
    </xdr:from>
    <xdr:to>
      <xdr:col>12</xdr:col>
      <xdr:colOff>0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682B5-B7F4-B72B-C4F9-417D23446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13</xdr:row>
      <xdr:rowOff>4761</xdr:rowOff>
    </xdr:from>
    <xdr:to>
      <xdr:col>12</xdr:col>
      <xdr:colOff>0</xdr:colOff>
      <xdr:row>46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BBA7-566E-B652-5742-EF586D8BB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14287</xdr:rowOff>
    </xdr:from>
    <xdr:to>
      <xdr:col>12</xdr:col>
      <xdr:colOff>0</xdr:colOff>
      <xdr:row>45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DD1CC-0E4E-D662-16ED-04A50C169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1495424</xdr:colOff>
      <xdr:row>13</xdr:row>
      <xdr:rowOff>4762</xdr:rowOff>
    </xdr:from>
    <xdr:to>
      <xdr:col>15</xdr:col>
      <xdr:colOff>609599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77659-9826-F17A-0F12-5F42C0551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A9FE-0FE8-4D46-9D67-A50C92A76860}">
  <dimension ref="A1:U24"/>
  <sheetViews>
    <sheetView tabSelected="1" topLeftCell="N1" workbookViewId="0">
      <selection activeCell="T11" sqref="T11"/>
    </sheetView>
  </sheetViews>
  <sheetFormatPr defaultRowHeight="15" x14ac:dyDescent="0.25"/>
  <cols>
    <col min="2" max="2" width="23" customWidth="1"/>
    <col min="4" max="4" width="15.42578125" customWidth="1"/>
    <col min="5" max="5" width="15.85546875" customWidth="1"/>
    <col min="6" max="6" width="21.85546875" customWidth="1"/>
    <col min="7" max="7" width="19.28515625" customWidth="1"/>
    <col min="8" max="8" width="24.85546875" customWidth="1"/>
    <col min="9" max="9" width="31.5703125" customWidth="1"/>
    <col min="10" max="10" width="14.5703125" customWidth="1"/>
    <col min="11" max="11" width="12.28515625" customWidth="1"/>
    <col min="12" max="12" width="35.28515625" customWidth="1"/>
    <col min="13" max="13" width="21.85546875" customWidth="1"/>
    <col min="14" max="14" width="14.140625" customWidth="1"/>
    <col min="15" max="15" width="19" customWidth="1"/>
    <col min="18" max="18" width="14.5703125" customWidth="1"/>
    <col min="19" max="19" width="10.7109375" customWidth="1"/>
    <col min="20" max="20" width="14.28515625" customWidth="1"/>
    <col min="21" max="21" width="27.8554687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 t="s">
        <v>25</v>
      </c>
      <c r="K1" s="6" t="s">
        <v>26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 spans="1:21" ht="30" x14ac:dyDescent="0.25">
      <c r="A2" s="6"/>
      <c r="B2" s="6"/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3">
        <v>1</v>
      </c>
      <c r="B3" s="3">
        <v>1</v>
      </c>
      <c r="C3" s="3">
        <v>128</v>
      </c>
      <c r="D3" s="3">
        <v>128</v>
      </c>
      <c r="E3" s="3">
        <v>4</v>
      </c>
      <c r="F3" s="3">
        <v>32</v>
      </c>
      <c r="G3" s="3">
        <v>1</v>
      </c>
      <c r="H3" s="3">
        <v>1</v>
      </c>
      <c r="I3" s="3">
        <v>1</v>
      </c>
      <c r="J3" s="5">
        <v>2321641</v>
      </c>
      <c r="K3" s="3" t="s">
        <v>27</v>
      </c>
      <c r="L3" s="4">
        <f>2887.492/60</f>
        <v>48.124866666666669</v>
      </c>
      <c r="M3" s="4" t="s">
        <v>24</v>
      </c>
      <c r="N3" s="4">
        <v>1.82</v>
      </c>
      <c r="O3" s="3">
        <v>5.84</v>
      </c>
      <c r="P3" s="3">
        <v>1.37</v>
      </c>
      <c r="Q3" s="4">
        <v>5.4</v>
      </c>
      <c r="R3" s="3">
        <v>3.74</v>
      </c>
      <c r="S3" s="3">
        <v>42.09</v>
      </c>
      <c r="T3" s="3">
        <v>7.14</v>
      </c>
      <c r="U3" s="4">
        <v>100</v>
      </c>
    </row>
    <row r="4" spans="1:21" x14ac:dyDescent="0.25">
      <c r="A4" s="3">
        <v>1</v>
      </c>
      <c r="B4" s="3">
        <v>2</v>
      </c>
      <c r="C4" s="3">
        <v>256</v>
      </c>
      <c r="D4" s="3">
        <v>128</v>
      </c>
      <c r="E4" s="3">
        <v>4</v>
      </c>
      <c r="F4" s="3">
        <v>32</v>
      </c>
      <c r="G4" s="3">
        <v>1</v>
      </c>
      <c r="H4" s="3">
        <v>1</v>
      </c>
      <c r="I4" s="3">
        <v>1</v>
      </c>
      <c r="J4" s="5">
        <v>2321641</v>
      </c>
      <c r="K4" s="3" t="s">
        <v>27</v>
      </c>
      <c r="L4" s="4">
        <f>1450.2212/60</f>
        <v>24.170353333333331</v>
      </c>
      <c r="M4" s="4">
        <f t="shared" ref="M4:M11" si="0">100*$L$3/(L4*B4)</f>
        <v>99.553502596707332</v>
      </c>
      <c r="N4" s="4">
        <v>1.2</v>
      </c>
      <c r="O4" s="4">
        <v>6.24</v>
      </c>
      <c r="P4" s="4">
        <v>1.28</v>
      </c>
      <c r="Q4" s="4">
        <v>4.8899999999999997</v>
      </c>
      <c r="R4" s="4">
        <v>3.39</v>
      </c>
      <c r="S4" s="4">
        <v>29.66</v>
      </c>
      <c r="T4" s="4">
        <v>7.17</v>
      </c>
      <c r="U4" s="4">
        <v>100</v>
      </c>
    </row>
    <row r="5" spans="1:21" x14ac:dyDescent="0.25">
      <c r="A5" s="3">
        <v>1</v>
      </c>
      <c r="B5" s="3">
        <v>4</v>
      </c>
      <c r="C5" s="3">
        <v>512</v>
      </c>
      <c r="D5" s="3">
        <v>128</v>
      </c>
      <c r="E5" s="3">
        <v>4</v>
      </c>
      <c r="F5" s="3">
        <v>32</v>
      </c>
      <c r="G5" s="3">
        <v>1</v>
      </c>
      <c r="H5" s="3">
        <v>1</v>
      </c>
      <c r="I5" s="3">
        <v>1</v>
      </c>
      <c r="J5" s="5">
        <v>2321641</v>
      </c>
      <c r="K5" s="3" t="s">
        <v>27</v>
      </c>
      <c r="L5" s="4">
        <f>727.7197/60</f>
        <v>12.128661666666666</v>
      </c>
      <c r="M5" s="4">
        <f t="shared" si="0"/>
        <v>99.196572526482385</v>
      </c>
      <c r="N5" s="4">
        <v>1.6</v>
      </c>
      <c r="O5" s="4">
        <v>6.28</v>
      </c>
      <c r="P5" s="4">
        <v>1.28</v>
      </c>
      <c r="Q5" s="4">
        <v>4.8899999999999997</v>
      </c>
      <c r="R5" s="4">
        <v>3.39</v>
      </c>
      <c r="S5" s="4">
        <v>29.65</v>
      </c>
      <c r="T5" s="4">
        <v>7.17</v>
      </c>
      <c r="U5" s="4">
        <v>100</v>
      </c>
    </row>
    <row r="6" spans="1:21" x14ac:dyDescent="0.25">
      <c r="A6" s="3">
        <v>1</v>
      </c>
      <c r="B6" s="3">
        <v>6</v>
      </c>
      <c r="C6" s="3">
        <v>768</v>
      </c>
      <c r="D6" s="3">
        <v>128</v>
      </c>
      <c r="E6" s="3">
        <v>4</v>
      </c>
      <c r="F6" s="3">
        <v>32</v>
      </c>
      <c r="G6" s="3">
        <v>1</v>
      </c>
      <c r="H6" s="3">
        <v>1</v>
      </c>
      <c r="I6" s="3">
        <v>1</v>
      </c>
      <c r="J6" s="5">
        <v>2321641</v>
      </c>
      <c r="K6" s="3" t="s">
        <v>27</v>
      </c>
      <c r="L6" s="4">
        <f>487.0412/60</f>
        <v>8.1173533333333339</v>
      </c>
      <c r="M6" s="4">
        <f t="shared" si="0"/>
        <v>98.810668720976096</v>
      </c>
      <c r="N6" s="4">
        <v>1.91</v>
      </c>
      <c r="O6" s="4">
        <v>6.33</v>
      </c>
      <c r="P6" s="4">
        <v>1.27</v>
      </c>
      <c r="Q6" s="4">
        <v>4.8899999999999997</v>
      </c>
      <c r="R6" s="4">
        <v>3.39</v>
      </c>
      <c r="S6" s="4">
        <v>29.68</v>
      </c>
      <c r="T6" s="4">
        <v>7.17</v>
      </c>
      <c r="U6" s="4">
        <v>100</v>
      </c>
    </row>
    <row r="7" spans="1:21" x14ac:dyDescent="0.25">
      <c r="A7" s="3">
        <v>1</v>
      </c>
      <c r="B7" s="3">
        <v>8</v>
      </c>
      <c r="C7" s="3">
        <v>1024</v>
      </c>
      <c r="D7" s="3">
        <v>128</v>
      </c>
      <c r="E7" s="3">
        <v>4</v>
      </c>
      <c r="F7" s="3">
        <v>32</v>
      </c>
      <c r="G7" s="3">
        <v>1</v>
      </c>
      <c r="H7" s="3">
        <v>1</v>
      </c>
      <c r="I7" s="3">
        <v>1</v>
      </c>
      <c r="J7" s="5">
        <v>2321641</v>
      </c>
      <c r="K7" s="3" t="s">
        <v>27</v>
      </c>
      <c r="L7" s="4">
        <f>363.9804/60</f>
        <v>6.0663399999999994</v>
      </c>
      <c r="M7" s="4">
        <f t="shared" si="0"/>
        <v>99.163718705732521</v>
      </c>
      <c r="N7" s="4">
        <v>1.58</v>
      </c>
      <c r="O7" s="4">
        <v>6.37</v>
      </c>
      <c r="P7" s="4">
        <v>1.26</v>
      </c>
      <c r="Q7" s="4">
        <v>4.8899999999999997</v>
      </c>
      <c r="R7" s="4">
        <v>3.39</v>
      </c>
      <c r="S7" s="4">
        <v>29.64</v>
      </c>
      <c r="T7" s="4">
        <v>7.17</v>
      </c>
      <c r="U7" s="4">
        <v>100</v>
      </c>
    </row>
    <row r="8" spans="1:21" x14ac:dyDescent="0.25">
      <c r="A8" s="3">
        <v>2</v>
      </c>
      <c r="B8" s="3">
        <v>10</v>
      </c>
      <c r="C8" s="3">
        <v>1280</v>
      </c>
      <c r="D8" s="3">
        <v>128</v>
      </c>
      <c r="E8" s="3">
        <v>4</v>
      </c>
      <c r="F8" s="3">
        <v>32</v>
      </c>
      <c r="G8" s="3">
        <v>1</v>
      </c>
      <c r="H8" s="3">
        <v>1</v>
      </c>
      <c r="I8" s="3">
        <v>1</v>
      </c>
      <c r="J8" s="5">
        <v>2321641</v>
      </c>
      <c r="K8" s="3" t="s">
        <v>27</v>
      </c>
      <c r="L8" s="4">
        <f>289.2518/60</f>
        <v>4.8208633333333335</v>
      </c>
      <c r="M8" s="4">
        <f t="shared" si="0"/>
        <v>99.826241357875716</v>
      </c>
      <c r="N8" s="4">
        <v>1.9</v>
      </c>
      <c r="O8" s="4">
        <v>6.42</v>
      </c>
      <c r="P8" s="4">
        <v>1.25</v>
      </c>
      <c r="Q8" s="4">
        <v>4.8899999999999997</v>
      </c>
      <c r="R8" s="4">
        <v>3.39</v>
      </c>
      <c r="S8" s="4">
        <v>29.66</v>
      </c>
      <c r="T8" s="4">
        <v>7.17</v>
      </c>
      <c r="U8" s="4">
        <v>100</v>
      </c>
    </row>
    <row r="9" spans="1:21" x14ac:dyDescent="0.25">
      <c r="A9" s="3">
        <v>2</v>
      </c>
      <c r="B9" s="3">
        <v>12</v>
      </c>
      <c r="C9" s="3">
        <v>1536</v>
      </c>
      <c r="D9" s="3">
        <v>128</v>
      </c>
      <c r="E9" s="3">
        <v>4</v>
      </c>
      <c r="F9" s="3">
        <v>32</v>
      </c>
      <c r="G9" s="3">
        <v>1</v>
      </c>
      <c r="H9" s="3">
        <v>1</v>
      </c>
      <c r="I9" s="3">
        <v>1</v>
      </c>
      <c r="J9" s="5">
        <v>2321641</v>
      </c>
      <c r="K9" s="3" t="s">
        <v>27</v>
      </c>
      <c r="L9" s="4">
        <f>240.3743/60</f>
        <v>4.0062383333333331</v>
      </c>
      <c r="M9" s="4">
        <f t="shared" si="0"/>
        <v>100.10401833030126</v>
      </c>
      <c r="N9" s="4">
        <v>1.79</v>
      </c>
      <c r="O9" s="4">
        <v>6.46</v>
      </c>
      <c r="P9" s="4">
        <v>1.24</v>
      </c>
      <c r="Q9" s="4">
        <v>4.8899999999999997</v>
      </c>
      <c r="R9" s="4">
        <v>3.39</v>
      </c>
      <c r="S9" s="4">
        <v>29.67</v>
      </c>
      <c r="T9" s="4">
        <v>7.17</v>
      </c>
      <c r="U9" s="4">
        <v>100</v>
      </c>
    </row>
    <row r="10" spans="1:21" x14ac:dyDescent="0.25">
      <c r="A10" s="3">
        <v>2</v>
      </c>
      <c r="B10" s="3">
        <v>14</v>
      </c>
      <c r="C10" s="3">
        <v>1792</v>
      </c>
      <c r="D10" s="3">
        <v>128</v>
      </c>
      <c r="E10" s="3">
        <v>4</v>
      </c>
      <c r="F10" s="3">
        <v>32</v>
      </c>
      <c r="G10" s="3">
        <v>1</v>
      </c>
      <c r="H10" s="3">
        <v>1</v>
      </c>
      <c r="I10" s="3">
        <v>1</v>
      </c>
      <c r="J10" s="5">
        <v>2321641</v>
      </c>
      <c r="K10" s="3" t="s">
        <v>27</v>
      </c>
      <c r="L10" s="4">
        <f>208.0935/60</f>
        <v>3.4682249999999999</v>
      </c>
      <c r="M10" s="4">
        <f t="shared" si="0"/>
        <v>99.113825550259179</v>
      </c>
      <c r="N10" s="4">
        <v>1.84</v>
      </c>
      <c r="O10" s="4">
        <v>6.51</v>
      </c>
      <c r="P10" s="4">
        <v>1.23</v>
      </c>
      <c r="Q10" s="4">
        <v>4.8899999999999997</v>
      </c>
      <c r="R10" s="4">
        <v>3.39</v>
      </c>
      <c r="S10" s="4">
        <v>29.66</v>
      </c>
      <c r="T10" s="4">
        <v>7.17</v>
      </c>
      <c r="U10" s="4">
        <v>100</v>
      </c>
    </row>
    <row r="11" spans="1:21" x14ac:dyDescent="0.25">
      <c r="A11" s="3">
        <v>2</v>
      </c>
      <c r="B11" s="3">
        <v>16</v>
      </c>
      <c r="C11" s="3">
        <v>2048</v>
      </c>
      <c r="D11" s="3">
        <v>128</v>
      </c>
      <c r="E11" s="3">
        <v>4</v>
      </c>
      <c r="F11" s="3">
        <v>32</v>
      </c>
      <c r="G11" s="3">
        <v>1</v>
      </c>
      <c r="H11" s="3">
        <v>1</v>
      </c>
      <c r="I11" s="3">
        <v>1</v>
      </c>
      <c r="J11" s="5">
        <v>2321641</v>
      </c>
      <c r="K11" s="3" t="s">
        <v>27</v>
      </c>
      <c r="L11" s="4">
        <f>183.0187/60</f>
        <v>3.0503116666666665</v>
      </c>
      <c r="M11" s="4">
        <f t="shared" si="0"/>
        <v>98.606453876024702</v>
      </c>
      <c r="N11" s="4">
        <v>1.62</v>
      </c>
      <c r="O11" s="4">
        <v>6.56</v>
      </c>
      <c r="P11" s="4">
        <v>1.22</v>
      </c>
      <c r="Q11" s="4">
        <v>4.8899999999999997</v>
      </c>
      <c r="R11" s="4">
        <v>3.39</v>
      </c>
      <c r="S11" s="4">
        <v>29.63</v>
      </c>
      <c r="T11" s="4">
        <v>7.17</v>
      </c>
      <c r="U11" s="4">
        <v>100</v>
      </c>
    </row>
    <row r="14" spans="1:21" x14ac:dyDescent="0.25">
      <c r="A14" s="6" t="s">
        <v>1</v>
      </c>
      <c r="B14" s="7" t="s">
        <v>20</v>
      </c>
      <c r="C14" s="7"/>
      <c r="D14" s="7"/>
      <c r="E14" s="6"/>
    </row>
    <row r="15" spans="1:21" x14ac:dyDescent="0.25">
      <c r="A15" s="6"/>
      <c r="B15" s="7"/>
      <c r="C15" s="7"/>
      <c r="D15" s="7"/>
      <c r="E15" s="6"/>
    </row>
    <row r="16" spans="1:21" x14ac:dyDescent="0.25">
      <c r="A16" s="3">
        <v>1</v>
      </c>
      <c r="B16" s="3">
        <v>48.86</v>
      </c>
      <c r="C16" s="3"/>
      <c r="D16" s="3"/>
      <c r="E16" s="3"/>
    </row>
    <row r="17" spans="1:5" x14ac:dyDescent="0.25">
      <c r="A17" s="3">
        <v>2</v>
      </c>
      <c r="B17" s="4">
        <v>24.17</v>
      </c>
      <c r="C17" s="3"/>
      <c r="D17" s="3"/>
      <c r="E17" s="3"/>
    </row>
    <row r="18" spans="1:5" x14ac:dyDescent="0.25">
      <c r="A18" s="3">
        <v>4</v>
      </c>
      <c r="B18" s="4">
        <v>12.13</v>
      </c>
      <c r="C18" s="3"/>
      <c r="D18" s="3"/>
      <c r="E18" s="4"/>
    </row>
    <row r="19" spans="1:5" x14ac:dyDescent="0.25">
      <c r="A19" s="3">
        <v>6</v>
      </c>
      <c r="B19" s="4">
        <v>8.1199999999999992</v>
      </c>
      <c r="C19" s="3"/>
      <c r="D19" s="3"/>
      <c r="E19" s="3"/>
    </row>
    <row r="20" spans="1:5" x14ac:dyDescent="0.25">
      <c r="A20" s="3">
        <v>8</v>
      </c>
      <c r="B20" s="4">
        <v>6.07</v>
      </c>
      <c r="C20" s="3"/>
      <c r="D20" s="3"/>
      <c r="E20" s="3"/>
    </row>
    <row r="21" spans="1:5" x14ac:dyDescent="0.25">
      <c r="A21" s="3">
        <v>10</v>
      </c>
      <c r="B21" s="4">
        <v>4.82</v>
      </c>
      <c r="C21" s="3"/>
      <c r="D21" s="3"/>
      <c r="E21" s="3"/>
    </row>
    <row r="22" spans="1:5" x14ac:dyDescent="0.25">
      <c r="A22" s="3">
        <v>12</v>
      </c>
      <c r="B22" s="4">
        <v>4.01</v>
      </c>
      <c r="C22" s="3"/>
      <c r="D22" s="4"/>
      <c r="E22" s="3"/>
    </row>
    <row r="23" spans="1:5" x14ac:dyDescent="0.25">
      <c r="A23" s="3">
        <v>14</v>
      </c>
      <c r="B23" s="4">
        <v>3.47</v>
      </c>
      <c r="C23" s="3"/>
      <c r="D23" s="3"/>
      <c r="E23" s="3"/>
    </row>
    <row r="24" spans="1:5" x14ac:dyDescent="0.25">
      <c r="A24" s="3">
        <v>16</v>
      </c>
      <c r="B24" s="4">
        <v>3.05</v>
      </c>
      <c r="C24" s="3"/>
      <c r="D24" s="3"/>
      <c r="E24" s="4"/>
    </row>
  </sheetData>
  <mergeCells count="20">
    <mergeCell ref="A14:A15"/>
    <mergeCell ref="B14:B15"/>
    <mergeCell ref="C14:C15"/>
    <mergeCell ref="D14:D15"/>
    <mergeCell ref="E14:E15"/>
    <mergeCell ref="P1:P2"/>
    <mergeCell ref="A1:A2"/>
    <mergeCell ref="B1:B2"/>
    <mergeCell ref="C1:I1"/>
    <mergeCell ref="L1:L2"/>
    <mergeCell ref="M1:M2"/>
    <mergeCell ref="N1:N2"/>
    <mergeCell ref="O1:O2"/>
    <mergeCell ref="J1:J2"/>
    <mergeCell ref="K1:K2"/>
    <mergeCell ref="Q1:Q2"/>
    <mergeCell ref="R1:R2"/>
    <mergeCell ref="S1:S2"/>
    <mergeCell ref="T1:T2"/>
    <mergeCell ref="U1:U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A10D-BF1F-4055-B95D-3F65D90F01F0}">
  <dimension ref="A1:U24"/>
  <sheetViews>
    <sheetView workbookViewId="0">
      <selection activeCell="V12" sqref="V12"/>
    </sheetView>
  </sheetViews>
  <sheetFormatPr defaultRowHeight="15" x14ac:dyDescent="0.25"/>
  <cols>
    <col min="2" max="2" width="20.140625" customWidth="1"/>
    <col min="4" max="4" width="17" customWidth="1"/>
    <col min="5" max="5" width="15.85546875" customWidth="1"/>
    <col min="6" max="6" width="21.42578125" customWidth="1"/>
    <col min="7" max="7" width="19.140625" customWidth="1"/>
    <col min="8" max="8" width="23.28515625" customWidth="1"/>
    <col min="9" max="9" width="30.42578125" customWidth="1"/>
    <col min="10" max="10" width="16" customWidth="1"/>
    <col min="11" max="11" width="13.28515625" customWidth="1"/>
    <col min="12" max="12" width="34.140625" customWidth="1"/>
    <col min="13" max="13" width="21" customWidth="1"/>
    <col min="14" max="14" width="12.5703125" customWidth="1"/>
    <col min="15" max="15" width="18.85546875" customWidth="1"/>
    <col min="18" max="18" width="14.140625" customWidth="1"/>
    <col min="19" max="19" width="10.85546875" customWidth="1"/>
    <col min="20" max="20" width="14.7109375" customWidth="1"/>
    <col min="21" max="21" width="26.8554687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 t="s">
        <v>25</v>
      </c>
      <c r="K1" s="6" t="s">
        <v>26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 spans="1:21" ht="30" x14ac:dyDescent="0.25">
      <c r="A2" s="6"/>
      <c r="B2" s="6"/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3">
        <v>1</v>
      </c>
      <c r="B3" s="3">
        <v>1</v>
      </c>
      <c r="C3" s="3">
        <v>128</v>
      </c>
      <c r="D3" s="3">
        <v>128</v>
      </c>
      <c r="E3" s="3">
        <v>4</v>
      </c>
      <c r="F3" s="3">
        <v>32</v>
      </c>
      <c r="G3" s="3">
        <v>1</v>
      </c>
      <c r="H3" s="3">
        <v>1</v>
      </c>
      <c r="I3" s="3">
        <v>1</v>
      </c>
      <c r="J3" s="5">
        <v>1968293</v>
      </c>
      <c r="K3" s="3" t="s">
        <v>27</v>
      </c>
      <c r="L3" s="4">
        <f>3702.918/60</f>
        <v>61.715299999999999</v>
      </c>
      <c r="M3" s="4" t="s">
        <v>24</v>
      </c>
      <c r="N3" s="3">
        <v>0.93</v>
      </c>
      <c r="O3" s="3">
        <v>5.47</v>
      </c>
      <c r="P3" s="3">
        <v>1.47</v>
      </c>
      <c r="Q3" s="4">
        <v>6.76</v>
      </c>
      <c r="R3" s="4">
        <v>4.68</v>
      </c>
      <c r="S3" s="4">
        <v>108.29</v>
      </c>
      <c r="T3" s="3">
        <v>6.63</v>
      </c>
      <c r="U3" s="4">
        <v>100</v>
      </c>
    </row>
    <row r="4" spans="1:21" x14ac:dyDescent="0.25">
      <c r="A4" s="3">
        <v>1</v>
      </c>
      <c r="B4" s="3">
        <v>2</v>
      </c>
      <c r="C4" s="3">
        <v>256</v>
      </c>
      <c r="D4" s="3">
        <v>128</v>
      </c>
      <c r="E4" s="3">
        <v>4</v>
      </c>
      <c r="F4" s="3">
        <v>32</v>
      </c>
      <c r="G4" s="3">
        <v>1</v>
      </c>
      <c r="H4" s="3">
        <v>1</v>
      </c>
      <c r="I4" s="3">
        <v>1</v>
      </c>
      <c r="J4" s="5">
        <v>1968293</v>
      </c>
      <c r="K4" s="3" t="s">
        <v>27</v>
      </c>
      <c r="L4" s="4">
        <f>1866.5148/60</f>
        <v>31.10858</v>
      </c>
      <c r="M4" s="4">
        <f t="shared" ref="M4:M11" si="0">100*$L$3/(L4*B4)</f>
        <v>99.193373660899979</v>
      </c>
      <c r="N4" s="3">
        <v>1.59</v>
      </c>
      <c r="O4" s="3">
        <v>5.49</v>
      </c>
      <c r="P4" s="3">
        <v>1.46</v>
      </c>
      <c r="Q4" s="4">
        <v>6.76</v>
      </c>
      <c r="R4" s="3">
        <v>4.66</v>
      </c>
      <c r="S4" s="3">
        <v>108.35</v>
      </c>
      <c r="T4" s="3">
        <v>6.63</v>
      </c>
      <c r="U4" s="4">
        <v>100</v>
      </c>
    </row>
    <row r="5" spans="1:21" x14ac:dyDescent="0.25">
      <c r="A5" s="3">
        <v>1</v>
      </c>
      <c r="B5" s="3">
        <v>4</v>
      </c>
      <c r="C5" s="3">
        <v>512</v>
      </c>
      <c r="D5" s="3">
        <v>128</v>
      </c>
      <c r="E5" s="3">
        <v>4</v>
      </c>
      <c r="F5" s="3">
        <v>32</v>
      </c>
      <c r="G5" s="3">
        <v>1</v>
      </c>
      <c r="H5" s="3">
        <v>1</v>
      </c>
      <c r="I5" s="3">
        <v>1</v>
      </c>
      <c r="J5" s="5">
        <v>1968293</v>
      </c>
      <c r="K5" s="3" t="s">
        <v>27</v>
      </c>
      <c r="L5" s="4">
        <f>932.0549/60</f>
        <v>15.534248333333332</v>
      </c>
      <c r="M5" s="4">
        <f t="shared" si="0"/>
        <v>99.321348989206541</v>
      </c>
      <c r="N5" s="3">
        <v>1.58</v>
      </c>
      <c r="O5" s="3">
        <v>5.54</v>
      </c>
      <c r="P5" s="3">
        <v>1.45</v>
      </c>
      <c r="Q5" s="4">
        <v>6.76</v>
      </c>
      <c r="R5" s="3">
        <v>4.6900000000000004</v>
      </c>
      <c r="S5" s="3">
        <v>108.35</v>
      </c>
      <c r="T5" s="3">
        <v>6.63</v>
      </c>
      <c r="U5" s="4">
        <v>100</v>
      </c>
    </row>
    <row r="6" spans="1:21" x14ac:dyDescent="0.25">
      <c r="A6" s="3">
        <v>1</v>
      </c>
      <c r="B6" s="3">
        <v>6</v>
      </c>
      <c r="C6" s="3">
        <v>768</v>
      </c>
      <c r="D6" s="3">
        <v>128</v>
      </c>
      <c r="E6" s="3">
        <v>4</v>
      </c>
      <c r="F6" s="3">
        <v>32</v>
      </c>
      <c r="G6" s="3">
        <v>1</v>
      </c>
      <c r="H6" s="3">
        <v>1</v>
      </c>
      <c r="I6" s="3">
        <v>1</v>
      </c>
      <c r="J6" s="5">
        <v>1968293</v>
      </c>
      <c r="K6" s="3" t="s">
        <v>27</v>
      </c>
      <c r="L6" s="4">
        <f>627.483/60</f>
        <v>10.458049999999998</v>
      </c>
      <c r="M6" s="4">
        <f t="shared" si="0"/>
        <v>98.353740260692334</v>
      </c>
      <c r="N6" s="3">
        <v>1.61</v>
      </c>
      <c r="O6" s="3">
        <v>5.58</v>
      </c>
      <c r="P6" s="3">
        <v>1.44</v>
      </c>
      <c r="Q6" s="4">
        <v>6.76</v>
      </c>
      <c r="R6" s="3">
        <v>4.6900000000000004</v>
      </c>
      <c r="S6" s="3">
        <v>108.43</v>
      </c>
      <c r="T6" s="3">
        <v>6.63</v>
      </c>
      <c r="U6" s="4">
        <v>100</v>
      </c>
    </row>
    <row r="7" spans="1:21" x14ac:dyDescent="0.25">
      <c r="A7" s="3">
        <v>1</v>
      </c>
      <c r="B7" s="3">
        <v>8</v>
      </c>
      <c r="C7" s="3">
        <v>1024</v>
      </c>
      <c r="D7" s="3">
        <v>128</v>
      </c>
      <c r="E7" s="3">
        <v>4</v>
      </c>
      <c r="F7" s="3">
        <v>32</v>
      </c>
      <c r="G7" s="3">
        <v>1</v>
      </c>
      <c r="H7" s="3">
        <v>1</v>
      </c>
      <c r="I7" s="3">
        <v>1</v>
      </c>
      <c r="J7" s="5">
        <v>1968293</v>
      </c>
      <c r="K7" s="3" t="s">
        <v>27</v>
      </c>
      <c r="L7" s="4">
        <f>458.9955/60</f>
        <v>7.6499249999999996</v>
      </c>
      <c r="M7" s="4">
        <f t="shared" si="0"/>
        <v>100.84298212073975</v>
      </c>
      <c r="N7" s="3">
        <v>1.62</v>
      </c>
      <c r="O7" s="3">
        <v>5.63</v>
      </c>
      <c r="P7" s="3">
        <v>1.42</v>
      </c>
      <c r="Q7" s="4">
        <v>6.76</v>
      </c>
      <c r="R7" s="3">
        <v>4.6900000000000004</v>
      </c>
      <c r="S7" s="3">
        <v>108.36</v>
      </c>
      <c r="T7" s="3">
        <v>6.63</v>
      </c>
      <c r="U7" s="4">
        <v>100</v>
      </c>
    </row>
    <row r="8" spans="1:21" x14ac:dyDescent="0.25">
      <c r="A8" s="3">
        <v>2</v>
      </c>
      <c r="B8" s="3">
        <v>10</v>
      </c>
      <c r="C8" s="3">
        <v>1280</v>
      </c>
      <c r="D8" s="3">
        <v>128</v>
      </c>
      <c r="E8" s="3">
        <v>4</v>
      </c>
      <c r="F8" s="3">
        <v>32</v>
      </c>
      <c r="G8" s="3">
        <v>1</v>
      </c>
      <c r="H8" s="3">
        <v>1</v>
      </c>
      <c r="I8" s="3">
        <v>1</v>
      </c>
      <c r="J8" s="5">
        <v>1968293</v>
      </c>
      <c r="K8" s="3" t="s">
        <v>27</v>
      </c>
      <c r="L8" s="4">
        <f>362.92/60</f>
        <v>6.0486666666666666</v>
      </c>
      <c r="M8" s="4">
        <f t="shared" si="0"/>
        <v>102.03124655571476</v>
      </c>
      <c r="N8" s="3">
        <v>1.61</v>
      </c>
      <c r="O8" s="3">
        <v>5.68</v>
      </c>
      <c r="P8" s="4">
        <v>1.41</v>
      </c>
      <c r="Q8" s="4">
        <v>6.76</v>
      </c>
      <c r="R8" s="3">
        <v>4.6900000000000004</v>
      </c>
      <c r="S8" s="3">
        <v>108.44</v>
      </c>
      <c r="T8" s="3">
        <v>6.63</v>
      </c>
      <c r="U8" s="4">
        <v>100</v>
      </c>
    </row>
    <row r="9" spans="1:21" x14ac:dyDescent="0.25">
      <c r="A9" s="3">
        <v>2</v>
      </c>
      <c r="B9" s="3">
        <v>12</v>
      </c>
      <c r="C9" s="3">
        <v>1536</v>
      </c>
      <c r="D9" s="3">
        <v>128</v>
      </c>
      <c r="E9" s="3">
        <v>4</v>
      </c>
      <c r="F9" s="3">
        <v>32</v>
      </c>
      <c r="G9" s="3">
        <v>1</v>
      </c>
      <c r="H9" s="3">
        <v>1</v>
      </c>
      <c r="I9" s="3">
        <v>1</v>
      </c>
      <c r="J9" s="5">
        <v>1968293</v>
      </c>
      <c r="K9" s="3" t="s">
        <v>27</v>
      </c>
      <c r="L9" s="4">
        <f>299.449/60</f>
        <v>4.9908166666666665</v>
      </c>
      <c r="M9" s="4">
        <f t="shared" si="0"/>
        <v>103.04809834061895</v>
      </c>
      <c r="N9" s="3">
        <v>1.58</v>
      </c>
      <c r="O9" s="3">
        <v>5.73</v>
      </c>
      <c r="P9" s="4">
        <v>1.4</v>
      </c>
      <c r="Q9" s="4">
        <v>6.76</v>
      </c>
      <c r="R9" s="3">
        <v>4.6900000000000004</v>
      </c>
      <c r="S9" s="3">
        <v>108.32</v>
      </c>
      <c r="T9" s="3">
        <v>6.63</v>
      </c>
      <c r="U9" s="4">
        <v>100</v>
      </c>
    </row>
    <row r="10" spans="1:21" x14ac:dyDescent="0.25">
      <c r="A10" s="3">
        <v>2</v>
      </c>
      <c r="B10" s="3">
        <v>14</v>
      </c>
      <c r="C10" s="3">
        <v>1792</v>
      </c>
      <c r="D10" s="3">
        <v>128</v>
      </c>
      <c r="E10" s="3">
        <v>4</v>
      </c>
      <c r="F10" s="3">
        <v>32</v>
      </c>
      <c r="G10" s="3">
        <v>1</v>
      </c>
      <c r="H10" s="3">
        <v>1</v>
      </c>
      <c r="I10" s="3">
        <v>1</v>
      </c>
      <c r="J10" s="5">
        <v>1968293</v>
      </c>
      <c r="K10" s="3" t="s">
        <v>27</v>
      </c>
      <c r="L10" s="4">
        <f>255.4207/60</f>
        <v>4.2570116666666671</v>
      </c>
      <c r="M10" s="4">
        <f t="shared" si="0"/>
        <v>103.55235220056277</v>
      </c>
      <c r="N10" s="4">
        <v>1.6</v>
      </c>
      <c r="O10" s="3">
        <v>5.78</v>
      </c>
      <c r="P10" s="3">
        <v>1.39</v>
      </c>
      <c r="Q10" s="4">
        <v>6.76</v>
      </c>
      <c r="R10" s="3">
        <v>4.6900000000000004</v>
      </c>
      <c r="S10" s="3">
        <v>108.38</v>
      </c>
      <c r="T10" s="3">
        <v>6.63</v>
      </c>
      <c r="U10" s="4">
        <v>100</v>
      </c>
    </row>
    <row r="11" spans="1:21" x14ac:dyDescent="0.25">
      <c r="A11" s="3">
        <v>2</v>
      </c>
      <c r="B11" s="3">
        <v>16</v>
      </c>
      <c r="C11" s="3">
        <v>2048</v>
      </c>
      <c r="D11" s="3">
        <v>128</v>
      </c>
      <c r="E11" s="3">
        <v>4</v>
      </c>
      <c r="F11" s="3">
        <v>32</v>
      </c>
      <c r="G11" s="3">
        <v>1</v>
      </c>
      <c r="H11" s="3">
        <v>1</v>
      </c>
      <c r="I11" s="3">
        <v>1</v>
      </c>
      <c r="J11" s="5">
        <v>1968293</v>
      </c>
      <c r="K11" s="3" t="s">
        <v>27</v>
      </c>
      <c r="L11" s="4">
        <f>221.1767/60</f>
        <v>3.6862783333333335</v>
      </c>
      <c r="M11" s="4">
        <f t="shared" si="0"/>
        <v>104.63686952558744</v>
      </c>
      <c r="N11" s="3">
        <v>1.59</v>
      </c>
      <c r="O11" s="3">
        <v>5.83</v>
      </c>
      <c r="P11" s="3">
        <v>1.37</v>
      </c>
      <c r="Q11" s="4">
        <v>6.76</v>
      </c>
      <c r="R11" s="3">
        <v>4.6900000000000004</v>
      </c>
      <c r="S11" s="3">
        <v>108.41</v>
      </c>
      <c r="T11" s="3">
        <v>6.63</v>
      </c>
      <c r="U11" s="4">
        <v>100</v>
      </c>
    </row>
    <row r="14" spans="1:21" x14ac:dyDescent="0.25">
      <c r="A14" s="6" t="s">
        <v>1</v>
      </c>
      <c r="B14" s="7" t="s">
        <v>21</v>
      </c>
      <c r="C14" s="7"/>
      <c r="D14" s="7"/>
      <c r="E14" s="6"/>
    </row>
    <row r="15" spans="1:21" x14ac:dyDescent="0.25">
      <c r="A15" s="6"/>
      <c r="B15" s="7"/>
      <c r="C15" s="7"/>
      <c r="D15" s="7"/>
      <c r="E15" s="6"/>
    </row>
    <row r="16" spans="1:21" x14ac:dyDescent="0.25">
      <c r="A16" s="3">
        <v>1</v>
      </c>
      <c r="B16" s="3">
        <v>61.72</v>
      </c>
      <c r="C16" s="3"/>
      <c r="D16" s="3"/>
      <c r="E16" s="3"/>
    </row>
    <row r="17" spans="1:5" x14ac:dyDescent="0.25">
      <c r="A17" s="3">
        <v>2</v>
      </c>
      <c r="B17" s="3">
        <v>31.11</v>
      </c>
      <c r="C17" s="3"/>
      <c r="D17" s="3"/>
      <c r="E17" s="3"/>
    </row>
    <row r="18" spans="1:5" x14ac:dyDescent="0.25">
      <c r="A18" s="3">
        <v>4</v>
      </c>
      <c r="B18" s="3">
        <v>15.53</v>
      </c>
      <c r="C18" s="3"/>
      <c r="D18" s="3"/>
      <c r="E18" s="4"/>
    </row>
    <row r="19" spans="1:5" x14ac:dyDescent="0.25">
      <c r="A19" s="3">
        <v>6</v>
      </c>
      <c r="B19" s="3">
        <v>10.46</v>
      </c>
      <c r="C19" s="3"/>
      <c r="D19" s="3"/>
      <c r="E19" s="3"/>
    </row>
    <row r="20" spans="1:5" x14ac:dyDescent="0.25">
      <c r="A20" s="3">
        <v>8</v>
      </c>
      <c r="B20" s="3">
        <v>7.65</v>
      </c>
      <c r="C20" s="3"/>
      <c r="D20" s="3"/>
      <c r="E20" s="3"/>
    </row>
    <row r="21" spans="1:5" x14ac:dyDescent="0.25">
      <c r="A21" s="3">
        <v>10</v>
      </c>
      <c r="B21" s="3">
        <v>6.05</v>
      </c>
      <c r="C21" s="3"/>
      <c r="D21" s="3"/>
      <c r="E21" s="3"/>
    </row>
    <row r="22" spans="1:5" x14ac:dyDescent="0.25">
      <c r="A22" s="3">
        <v>12</v>
      </c>
      <c r="B22" s="3">
        <v>4.99</v>
      </c>
      <c r="C22" s="3"/>
      <c r="D22" s="4"/>
      <c r="E22" s="3"/>
    </row>
    <row r="23" spans="1:5" x14ac:dyDescent="0.25">
      <c r="A23" s="3">
        <v>14</v>
      </c>
      <c r="B23" s="3">
        <v>4.26</v>
      </c>
      <c r="C23" s="3"/>
      <c r="D23" s="3"/>
      <c r="E23" s="3"/>
    </row>
    <row r="24" spans="1:5" x14ac:dyDescent="0.25">
      <c r="A24" s="3">
        <v>16</v>
      </c>
      <c r="B24" s="3">
        <v>3.69</v>
      </c>
      <c r="C24" s="3"/>
      <c r="D24" s="3"/>
      <c r="E24" s="4"/>
    </row>
  </sheetData>
  <mergeCells count="20">
    <mergeCell ref="A14:A15"/>
    <mergeCell ref="B14:B15"/>
    <mergeCell ref="C14:C15"/>
    <mergeCell ref="D14:D15"/>
    <mergeCell ref="E14:E15"/>
    <mergeCell ref="A1:A2"/>
    <mergeCell ref="B1:B2"/>
    <mergeCell ref="C1:I1"/>
    <mergeCell ref="L1:L2"/>
    <mergeCell ref="M1:M2"/>
    <mergeCell ref="J1:J2"/>
    <mergeCell ref="K1:K2"/>
    <mergeCell ref="R1:R2"/>
    <mergeCell ref="S1:S2"/>
    <mergeCell ref="T1:T2"/>
    <mergeCell ref="U1:U2"/>
    <mergeCell ref="N1:N2"/>
    <mergeCell ref="O1:O2"/>
    <mergeCell ref="P1:P2"/>
    <mergeCell ref="Q1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253C-8423-4B06-9C4C-4C4774234F4F}">
  <dimension ref="A1:U24"/>
  <sheetViews>
    <sheetView topLeftCell="B1" workbookViewId="0">
      <selection activeCell="M5" sqref="M5"/>
    </sheetView>
  </sheetViews>
  <sheetFormatPr defaultRowHeight="15" x14ac:dyDescent="0.25"/>
  <cols>
    <col min="2" max="2" width="22.85546875" customWidth="1"/>
    <col min="4" max="4" width="15.42578125" customWidth="1"/>
    <col min="5" max="5" width="14.5703125" customWidth="1"/>
    <col min="6" max="6" width="20.85546875" customWidth="1"/>
    <col min="7" max="7" width="19.140625" customWidth="1"/>
    <col min="8" max="8" width="24.140625" customWidth="1"/>
    <col min="9" max="9" width="30.5703125" customWidth="1"/>
    <col min="10" max="10" width="15.42578125" customWidth="1"/>
    <col min="11" max="11" width="13.140625" customWidth="1"/>
    <col min="12" max="12" width="35.140625" customWidth="1"/>
    <col min="13" max="13" width="20.5703125" customWidth="1"/>
    <col min="14" max="14" width="12.85546875" customWidth="1"/>
    <col min="15" max="15" width="19.140625" customWidth="1"/>
    <col min="18" max="18" width="14.28515625" customWidth="1"/>
    <col min="19" max="19" width="11.140625" customWidth="1"/>
    <col min="20" max="20" width="14.42578125" customWidth="1"/>
    <col min="21" max="21" width="26.57031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 t="s">
        <v>25</v>
      </c>
      <c r="K1" s="6" t="s">
        <v>26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 spans="1:21" ht="30" x14ac:dyDescent="0.25">
      <c r="A2" s="6"/>
      <c r="B2" s="6"/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3">
        <v>1</v>
      </c>
      <c r="B3" s="3">
        <v>1</v>
      </c>
      <c r="C3" s="3">
        <v>128</v>
      </c>
      <c r="D3" s="3">
        <v>128</v>
      </c>
      <c r="E3" s="3">
        <v>4</v>
      </c>
      <c r="F3" s="3">
        <v>32</v>
      </c>
      <c r="G3" s="3">
        <v>1</v>
      </c>
      <c r="H3" s="3">
        <v>1</v>
      </c>
      <c r="I3" s="3">
        <v>1</v>
      </c>
      <c r="J3" s="5">
        <v>2043013</v>
      </c>
      <c r="K3" s="3" t="s">
        <v>27</v>
      </c>
      <c r="L3" s="4">
        <f>4482.0135/60</f>
        <v>74.700225000000003</v>
      </c>
      <c r="M3" s="4" t="s">
        <v>24</v>
      </c>
      <c r="N3" s="4">
        <v>2.21</v>
      </c>
      <c r="O3" s="4">
        <v>5.0599999999999996</v>
      </c>
      <c r="P3" s="4">
        <v>1.59</v>
      </c>
      <c r="Q3" s="4">
        <v>7.29</v>
      </c>
      <c r="R3" s="4">
        <v>5.0599999999999996</v>
      </c>
      <c r="S3" s="4">
        <v>156.91999999999999</v>
      </c>
      <c r="T3" s="4">
        <v>6.97</v>
      </c>
      <c r="U3" s="4">
        <v>100</v>
      </c>
    </row>
    <row r="4" spans="1:21" x14ac:dyDescent="0.25">
      <c r="A4" s="3">
        <v>1</v>
      </c>
      <c r="B4" s="3">
        <v>2</v>
      </c>
      <c r="C4" s="3">
        <v>256</v>
      </c>
      <c r="D4" s="3">
        <v>128</v>
      </c>
      <c r="E4" s="3">
        <v>4</v>
      </c>
      <c r="F4" s="3">
        <v>32</v>
      </c>
      <c r="G4" s="3">
        <v>1</v>
      </c>
      <c r="H4" s="3">
        <v>1</v>
      </c>
      <c r="I4" s="3">
        <v>1</v>
      </c>
      <c r="J4" s="5">
        <v>2043013</v>
      </c>
      <c r="K4" s="3" t="s">
        <v>27</v>
      </c>
      <c r="L4" s="4">
        <f>2230.3787/60</f>
        <v>37.17297833333334</v>
      </c>
      <c r="M4" s="4">
        <f t="shared" ref="M4:M11" si="0">100*$L$3/(L4*B4)</f>
        <v>100.47651324862453</v>
      </c>
      <c r="N4" s="4">
        <v>2.17</v>
      </c>
      <c r="O4" s="4">
        <v>5.07</v>
      </c>
      <c r="P4" s="4">
        <v>1.58</v>
      </c>
      <c r="Q4" s="4">
        <v>7.29</v>
      </c>
      <c r="R4" s="4">
        <v>5.0599999999999996</v>
      </c>
      <c r="S4" s="4">
        <v>157.02000000000001</v>
      </c>
      <c r="T4" s="4">
        <v>6.97</v>
      </c>
      <c r="U4" s="4">
        <v>100</v>
      </c>
    </row>
    <row r="5" spans="1:21" x14ac:dyDescent="0.25">
      <c r="A5" s="3">
        <v>1</v>
      </c>
      <c r="B5" s="3">
        <v>4</v>
      </c>
      <c r="C5" s="3">
        <v>512</v>
      </c>
      <c r="D5" s="3">
        <v>128</v>
      </c>
      <c r="E5" s="3">
        <v>4</v>
      </c>
      <c r="F5" s="3">
        <v>32</v>
      </c>
      <c r="G5" s="3">
        <v>1</v>
      </c>
      <c r="H5" s="3">
        <v>1</v>
      </c>
      <c r="I5" s="3">
        <v>1</v>
      </c>
      <c r="J5" s="5">
        <v>2043013</v>
      </c>
      <c r="K5" s="3" t="s">
        <v>27</v>
      </c>
      <c r="L5" s="4">
        <f>1086.1913/60</f>
        <v>18.103188333333332</v>
      </c>
      <c r="M5" s="4">
        <f t="shared" si="0"/>
        <v>103.15893480273688</v>
      </c>
      <c r="N5" s="4">
        <v>1.6</v>
      </c>
      <c r="O5" s="4">
        <v>5.12</v>
      </c>
      <c r="P5" s="4">
        <v>1.57</v>
      </c>
      <c r="Q5" s="4">
        <v>7.29</v>
      </c>
      <c r="R5" s="4">
        <v>5.0599999999999996</v>
      </c>
      <c r="S5" s="4">
        <v>157.02000000000001</v>
      </c>
      <c r="T5" s="4">
        <v>6.97</v>
      </c>
      <c r="U5" s="4">
        <v>100</v>
      </c>
    </row>
    <row r="6" spans="1:21" x14ac:dyDescent="0.25">
      <c r="A6" s="3">
        <v>1</v>
      </c>
      <c r="B6" s="3">
        <v>6</v>
      </c>
      <c r="C6" s="3">
        <v>768</v>
      </c>
      <c r="D6" s="3">
        <v>128</v>
      </c>
      <c r="E6" s="3">
        <v>4</v>
      </c>
      <c r="F6" s="3">
        <v>32</v>
      </c>
      <c r="G6" s="3">
        <v>1</v>
      </c>
      <c r="H6" s="3">
        <v>1</v>
      </c>
      <c r="I6" s="3">
        <v>1</v>
      </c>
      <c r="J6" s="5">
        <v>2043013</v>
      </c>
      <c r="K6" s="3" t="s">
        <v>27</v>
      </c>
      <c r="L6" s="4">
        <f>730.0946/60</f>
        <v>12.168243333333333</v>
      </c>
      <c r="M6" s="4">
        <f t="shared" si="0"/>
        <v>102.31581633393812</v>
      </c>
      <c r="N6" s="4">
        <v>2.12</v>
      </c>
      <c r="O6" s="4">
        <v>5.16</v>
      </c>
      <c r="P6" s="4">
        <v>1.55</v>
      </c>
      <c r="Q6" s="4">
        <v>7.29</v>
      </c>
      <c r="R6" s="4">
        <v>5.0599999999999996</v>
      </c>
      <c r="S6" s="4">
        <v>156.78</v>
      </c>
      <c r="T6" s="4">
        <v>6.97</v>
      </c>
      <c r="U6" s="4">
        <v>100</v>
      </c>
    </row>
    <row r="7" spans="1:21" x14ac:dyDescent="0.25">
      <c r="A7" s="3">
        <v>1</v>
      </c>
      <c r="B7" s="3">
        <v>8</v>
      </c>
      <c r="C7" s="3">
        <v>1024</v>
      </c>
      <c r="D7" s="3">
        <v>128</v>
      </c>
      <c r="E7" s="3">
        <v>4</v>
      </c>
      <c r="F7" s="3">
        <v>32</v>
      </c>
      <c r="G7" s="3">
        <v>1</v>
      </c>
      <c r="H7" s="3">
        <v>1</v>
      </c>
      <c r="I7" s="3">
        <v>1</v>
      </c>
      <c r="J7" s="5">
        <v>2043013</v>
      </c>
      <c r="K7" s="3" t="s">
        <v>27</v>
      </c>
      <c r="L7" s="4">
        <f>552.666/60</f>
        <v>9.2111000000000001</v>
      </c>
      <c r="M7" s="4">
        <f t="shared" si="0"/>
        <v>101.3725627232361</v>
      </c>
      <c r="N7" s="4">
        <v>2.19</v>
      </c>
      <c r="O7" s="4">
        <v>5.2</v>
      </c>
      <c r="P7" s="4">
        <v>1.54</v>
      </c>
      <c r="Q7" s="4">
        <v>7.29</v>
      </c>
      <c r="R7" s="4">
        <v>5.0599999999999996</v>
      </c>
      <c r="S7" s="4">
        <v>157.03</v>
      </c>
      <c r="T7" s="4">
        <v>6.97</v>
      </c>
      <c r="U7" s="4">
        <v>100</v>
      </c>
    </row>
    <row r="8" spans="1:21" x14ac:dyDescent="0.25">
      <c r="A8" s="3">
        <v>2</v>
      </c>
      <c r="B8" s="3">
        <v>10</v>
      </c>
      <c r="C8" s="3">
        <v>1280</v>
      </c>
      <c r="D8" s="3">
        <v>128</v>
      </c>
      <c r="E8" s="3">
        <v>4</v>
      </c>
      <c r="F8" s="3">
        <v>32</v>
      </c>
      <c r="G8" s="3">
        <v>1</v>
      </c>
      <c r="H8" s="3">
        <v>1</v>
      </c>
      <c r="I8" s="3">
        <v>1</v>
      </c>
      <c r="J8" s="5">
        <v>2043013</v>
      </c>
      <c r="K8" s="3" t="s">
        <v>27</v>
      </c>
      <c r="L8" s="4">
        <f>436.5887/60</f>
        <v>7.2764783333333334</v>
      </c>
      <c r="M8" s="4">
        <f t="shared" si="0"/>
        <v>102.65986041324479</v>
      </c>
      <c r="N8" s="4">
        <v>2.21</v>
      </c>
      <c r="O8" s="4">
        <v>5.24</v>
      </c>
      <c r="P8" s="4">
        <v>1.53</v>
      </c>
      <c r="Q8" s="4">
        <v>7.29</v>
      </c>
      <c r="R8" s="4">
        <v>5.0599999999999996</v>
      </c>
      <c r="S8" s="4">
        <v>156.91999999999999</v>
      </c>
      <c r="T8" s="4">
        <v>6.97</v>
      </c>
      <c r="U8" s="4">
        <v>100</v>
      </c>
    </row>
    <row r="9" spans="1:21" x14ac:dyDescent="0.25">
      <c r="A9" s="3">
        <v>2</v>
      </c>
      <c r="B9" s="3">
        <v>12</v>
      </c>
      <c r="C9" s="3">
        <v>1536</v>
      </c>
      <c r="D9" s="3">
        <v>128</v>
      </c>
      <c r="E9" s="3">
        <v>4</v>
      </c>
      <c r="F9" s="3">
        <v>32</v>
      </c>
      <c r="G9" s="3">
        <v>1</v>
      </c>
      <c r="H9" s="3">
        <v>1</v>
      </c>
      <c r="I9" s="3">
        <v>1</v>
      </c>
      <c r="J9" s="5">
        <v>2043013</v>
      </c>
      <c r="K9" s="3" t="s">
        <v>27</v>
      </c>
      <c r="L9" s="4">
        <f>376.9444/60</f>
        <v>6.2824066666666658</v>
      </c>
      <c r="M9" s="4">
        <f t="shared" si="0"/>
        <v>99.086529737542207</v>
      </c>
      <c r="N9" s="4">
        <v>2.2000000000000002</v>
      </c>
      <c r="O9" s="4">
        <v>5.29</v>
      </c>
      <c r="P9" s="4">
        <v>1.52</v>
      </c>
      <c r="Q9" s="4">
        <v>7.29</v>
      </c>
      <c r="R9" s="4">
        <v>5.05</v>
      </c>
      <c r="S9" s="4">
        <v>156.59</v>
      </c>
      <c r="T9" s="4">
        <v>6.97</v>
      </c>
      <c r="U9" s="4">
        <v>100</v>
      </c>
    </row>
    <row r="10" spans="1:21" x14ac:dyDescent="0.25">
      <c r="A10" s="3">
        <v>2</v>
      </c>
      <c r="B10" s="3">
        <v>14</v>
      </c>
      <c r="C10" s="3">
        <v>1792</v>
      </c>
      <c r="D10" s="3">
        <v>128</v>
      </c>
      <c r="E10" s="3">
        <v>4</v>
      </c>
      <c r="F10" s="3">
        <v>32</v>
      </c>
      <c r="G10" s="3">
        <v>1</v>
      </c>
      <c r="H10" s="3">
        <v>1</v>
      </c>
      <c r="I10" s="3">
        <v>1</v>
      </c>
      <c r="J10" s="5">
        <v>2043013</v>
      </c>
      <c r="K10" s="3" t="s">
        <v>27</v>
      </c>
      <c r="L10" s="4">
        <f>304.2299/60</f>
        <v>5.0704983333333331</v>
      </c>
      <c r="M10" s="4">
        <f t="shared" si="0"/>
        <v>105.23088671710816</v>
      </c>
      <c r="N10" s="4">
        <v>2.2000000000000002</v>
      </c>
      <c r="O10" s="4">
        <v>5.33</v>
      </c>
      <c r="P10" s="4">
        <v>1.5</v>
      </c>
      <c r="Q10" s="4">
        <v>7.29</v>
      </c>
      <c r="R10" s="4">
        <v>5.0599999999999996</v>
      </c>
      <c r="S10" s="4">
        <v>156.80000000000001</v>
      </c>
      <c r="T10" s="4">
        <v>6.97</v>
      </c>
      <c r="U10" s="4">
        <v>100</v>
      </c>
    </row>
    <row r="11" spans="1:21" x14ac:dyDescent="0.25">
      <c r="A11" s="3">
        <v>2</v>
      </c>
      <c r="B11" s="3">
        <v>16</v>
      </c>
      <c r="C11" s="3">
        <v>2048</v>
      </c>
      <c r="D11" s="3">
        <v>128</v>
      </c>
      <c r="E11" s="3">
        <v>4</v>
      </c>
      <c r="F11" s="3">
        <v>32</v>
      </c>
      <c r="G11" s="3">
        <v>1</v>
      </c>
      <c r="H11" s="3">
        <v>1</v>
      </c>
      <c r="I11" s="3">
        <v>1</v>
      </c>
      <c r="J11" s="5">
        <v>2043013</v>
      </c>
      <c r="K11" s="3" t="s">
        <v>27</v>
      </c>
      <c r="L11" s="4">
        <f>262.8878/60</f>
        <v>4.3814633333333335</v>
      </c>
      <c r="M11" s="4">
        <f t="shared" si="0"/>
        <v>106.55718665909943</v>
      </c>
      <c r="N11" s="4">
        <v>2.17</v>
      </c>
      <c r="O11" s="4">
        <v>5.38</v>
      </c>
      <c r="P11" s="4">
        <v>1.49</v>
      </c>
      <c r="Q11" s="4">
        <v>7.29</v>
      </c>
      <c r="R11" s="4">
        <v>5.0599999999999996</v>
      </c>
      <c r="S11" s="4">
        <v>156.9</v>
      </c>
      <c r="T11" s="4">
        <v>6.97</v>
      </c>
      <c r="U11" s="4">
        <v>100</v>
      </c>
    </row>
    <row r="14" spans="1:21" x14ac:dyDescent="0.25">
      <c r="A14" s="6" t="s">
        <v>1</v>
      </c>
      <c r="B14" s="7" t="s">
        <v>22</v>
      </c>
    </row>
    <row r="15" spans="1:21" x14ac:dyDescent="0.25">
      <c r="A15" s="6"/>
      <c r="B15" s="7"/>
    </row>
    <row r="16" spans="1:21" x14ac:dyDescent="0.25">
      <c r="A16" s="3">
        <v>1</v>
      </c>
      <c r="B16" s="4">
        <f>4482.0135/60</f>
        <v>74.700225000000003</v>
      </c>
    </row>
    <row r="17" spans="1:2" x14ac:dyDescent="0.25">
      <c r="A17" s="3">
        <v>2</v>
      </c>
      <c r="B17" s="4">
        <f>2230.3787/60</f>
        <v>37.17297833333334</v>
      </c>
    </row>
    <row r="18" spans="1:2" x14ac:dyDescent="0.25">
      <c r="A18" s="3">
        <v>4</v>
      </c>
      <c r="B18" s="4">
        <f>1086.1913/60</f>
        <v>18.103188333333332</v>
      </c>
    </row>
    <row r="19" spans="1:2" x14ac:dyDescent="0.25">
      <c r="A19" s="3">
        <v>6</v>
      </c>
      <c r="B19" s="4">
        <f>730.0946/60</f>
        <v>12.168243333333333</v>
      </c>
    </row>
    <row r="20" spans="1:2" x14ac:dyDescent="0.25">
      <c r="A20" s="3">
        <v>8</v>
      </c>
      <c r="B20" s="4">
        <f>552.666/60</f>
        <v>9.2111000000000001</v>
      </c>
    </row>
    <row r="21" spans="1:2" x14ac:dyDescent="0.25">
      <c r="A21" s="3">
        <v>10</v>
      </c>
      <c r="B21" s="4">
        <f>436.5887/60</f>
        <v>7.2764783333333334</v>
      </c>
    </row>
    <row r="22" spans="1:2" x14ac:dyDescent="0.25">
      <c r="A22" s="3">
        <v>12</v>
      </c>
      <c r="B22" s="4">
        <f>376.9444/60</f>
        <v>6.2824066666666658</v>
      </c>
    </row>
    <row r="23" spans="1:2" x14ac:dyDescent="0.25">
      <c r="A23" s="3">
        <v>14</v>
      </c>
      <c r="B23" s="4">
        <f>304.2299/60</f>
        <v>5.0704983333333331</v>
      </c>
    </row>
    <row r="24" spans="1:2" x14ac:dyDescent="0.25">
      <c r="A24" s="3">
        <v>16</v>
      </c>
      <c r="B24" s="4">
        <f>262.8878/60</f>
        <v>4.3814633333333335</v>
      </c>
    </row>
  </sheetData>
  <mergeCells count="17">
    <mergeCell ref="A14:A15"/>
    <mergeCell ref="B14:B15"/>
    <mergeCell ref="A1:A2"/>
    <mergeCell ref="B1:B2"/>
    <mergeCell ref="C1:I1"/>
    <mergeCell ref="J1:J2"/>
    <mergeCell ref="K1:K2"/>
    <mergeCell ref="U1:U2"/>
    <mergeCell ref="N1:N2"/>
    <mergeCell ref="O1:O2"/>
    <mergeCell ref="P1:P2"/>
    <mergeCell ref="Q1:Q2"/>
    <mergeCell ref="L1:L2"/>
    <mergeCell ref="M1:M2"/>
    <mergeCell ref="R1:R2"/>
    <mergeCell ref="S1:S2"/>
    <mergeCell ref="T1:T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31FB-9C5B-48C1-AEC0-D1A170CD8898}">
  <dimension ref="A1:U24"/>
  <sheetViews>
    <sheetView topLeftCell="H1" workbookViewId="0">
      <selection activeCell="M8" sqref="M8"/>
    </sheetView>
  </sheetViews>
  <sheetFormatPr defaultRowHeight="15" x14ac:dyDescent="0.25"/>
  <cols>
    <col min="2" max="2" width="21.140625" customWidth="1"/>
    <col min="4" max="4" width="15.28515625" customWidth="1"/>
    <col min="5" max="5" width="14.5703125" customWidth="1"/>
    <col min="6" max="6" width="20.7109375" customWidth="1"/>
    <col min="7" max="7" width="19.42578125" customWidth="1"/>
    <col min="8" max="8" width="22.85546875" customWidth="1"/>
    <col min="9" max="9" width="30.28515625" customWidth="1"/>
    <col min="10" max="10" width="15.140625" customWidth="1"/>
    <col min="11" max="11" width="13.28515625" customWidth="1"/>
    <col min="12" max="12" width="34.5703125" customWidth="1"/>
    <col min="13" max="13" width="20.140625" customWidth="1"/>
    <col min="14" max="14" width="13.28515625" customWidth="1"/>
    <col min="15" max="15" width="18.7109375" customWidth="1"/>
    <col min="18" max="18" width="14.85546875" customWidth="1"/>
    <col min="19" max="19" width="11.140625" customWidth="1"/>
    <col min="20" max="20" width="15.28515625" customWidth="1"/>
    <col min="21" max="21" width="27.285156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 t="s">
        <v>25</v>
      </c>
      <c r="K1" s="6" t="s">
        <v>26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 spans="1:21" ht="30" x14ac:dyDescent="0.25">
      <c r="A2" s="6"/>
      <c r="B2" s="6"/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3">
        <v>1</v>
      </c>
      <c r="B3" s="3">
        <v>1</v>
      </c>
      <c r="C3" s="3">
        <v>128</v>
      </c>
      <c r="D3" s="3">
        <v>128</v>
      </c>
      <c r="E3" s="3">
        <v>4</v>
      </c>
      <c r="F3" s="3">
        <v>32</v>
      </c>
      <c r="G3" s="3">
        <v>1</v>
      </c>
      <c r="H3" s="3">
        <v>1</v>
      </c>
      <c r="I3" s="3">
        <v>1</v>
      </c>
      <c r="J3" s="5">
        <v>2034034</v>
      </c>
      <c r="K3" s="3" t="s">
        <v>28</v>
      </c>
      <c r="L3" s="4">
        <f>10507.121/60</f>
        <v>175.11868333333331</v>
      </c>
      <c r="M3" s="4" t="s">
        <v>24</v>
      </c>
      <c r="N3" s="4">
        <v>1.66</v>
      </c>
      <c r="O3" s="4">
        <v>9.23</v>
      </c>
      <c r="P3" s="4">
        <v>0.87</v>
      </c>
      <c r="Q3" s="4">
        <v>3.73</v>
      </c>
      <c r="R3" s="4">
        <v>2.58</v>
      </c>
      <c r="S3" s="4">
        <v>13.23</v>
      </c>
      <c r="T3" s="4">
        <v>9.84</v>
      </c>
      <c r="U3" s="4">
        <v>100</v>
      </c>
    </row>
    <row r="4" spans="1:21" x14ac:dyDescent="0.25">
      <c r="A4" s="3">
        <v>1</v>
      </c>
      <c r="B4" s="3">
        <v>2</v>
      </c>
      <c r="C4" s="3">
        <v>256</v>
      </c>
      <c r="D4" s="3">
        <v>128</v>
      </c>
      <c r="E4" s="3">
        <v>4</v>
      </c>
      <c r="F4" s="3">
        <v>32</v>
      </c>
      <c r="G4" s="3">
        <v>1</v>
      </c>
      <c r="H4" s="3">
        <v>1</v>
      </c>
      <c r="I4" s="3">
        <v>1</v>
      </c>
      <c r="J4" s="5">
        <v>2034034</v>
      </c>
      <c r="K4" s="3" t="s">
        <v>28</v>
      </c>
      <c r="L4" s="4">
        <f>5259.1699/60</f>
        <v>87.652831666666671</v>
      </c>
      <c r="M4" s="4">
        <f t="shared" ref="M4:M11" si="0">100*$L$3/(L4*B4)</f>
        <v>99.893340582132538</v>
      </c>
      <c r="N4" s="4">
        <v>1.68</v>
      </c>
      <c r="O4" s="4">
        <v>9.27</v>
      </c>
      <c r="P4" s="4">
        <v>0.86</v>
      </c>
      <c r="Q4" s="4">
        <v>3.73</v>
      </c>
      <c r="R4" s="4">
        <v>2.58</v>
      </c>
      <c r="S4" s="4">
        <v>13.23</v>
      </c>
      <c r="T4" s="4">
        <v>9.84</v>
      </c>
      <c r="U4" s="4">
        <v>100</v>
      </c>
    </row>
    <row r="5" spans="1:21" x14ac:dyDescent="0.25">
      <c r="A5" s="3">
        <v>1</v>
      </c>
      <c r="B5" s="3">
        <v>4</v>
      </c>
      <c r="C5" s="3">
        <v>512</v>
      </c>
      <c r="D5" s="3">
        <v>128</v>
      </c>
      <c r="E5" s="3">
        <v>4</v>
      </c>
      <c r="F5" s="3">
        <v>32</v>
      </c>
      <c r="G5" s="3">
        <v>1</v>
      </c>
      <c r="H5" s="3">
        <v>1</v>
      </c>
      <c r="I5" s="3">
        <v>1</v>
      </c>
      <c r="J5" s="5">
        <v>2034034</v>
      </c>
      <c r="K5" s="3" t="s">
        <v>28</v>
      </c>
      <c r="L5" s="4">
        <f>2597.9314/60</f>
        <v>43.298856666666666</v>
      </c>
      <c r="M5" s="4">
        <f t="shared" si="0"/>
        <v>101.11045464864853</v>
      </c>
      <c r="N5" s="4">
        <v>3.37</v>
      </c>
      <c r="O5" s="4">
        <v>9.34</v>
      </c>
      <c r="P5" s="4">
        <v>0.86</v>
      </c>
      <c r="Q5" s="4">
        <v>3.73</v>
      </c>
      <c r="R5" s="4">
        <v>2.58</v>
      </c>
      <c r="S5" s="4">
        <v>13.23</v>
      </c>
      <c r="T5" s="4">
        <v>9.84</v>
      </c>
      <c r="U5" s="4">
        <v>100</v>
      </c>
    </row>
    <row r="6" spans="1:21" x14ac:dyDescent="0.25">
      <c r="A6" s="3">
        <v>1</v>
      </c>
      <c r="B6" s="3">
        <v>6</v>
      </c>
      <c r="C6" s="3">
        <v>768</v>
      </c>
      <c r="D6" s="3">
        <v>128</v>
      </c>
      <c r="E6" s="3">
        <v>4</v>
      </c>
      <c r="F6" s="3">
        <v>32</v>
      </c>
      <c r="G6" s="3">
        <v>1</v>
      </c>
      <c r="H6" s="3">
        <v>1</v>
      </c>
      <c r="I6" s="3">
        <v>1</v>
      </c>
      <c r="J6" s="5">
        <v>2034034</v>
      </c>
      <c r="K6" s="3" t="s">
        <v>28</v>
      </c>
      <c r="L6" s="4">
        <f>1722.05/60</f>
        <v>28.700833333333332</v>
      </c>
      <c r="M6" s="4">
        <f t="shared" si="0"/>
        <v>101.69198532756502</v>
      </c>
      <c r="N6" s="4">
        <v>2.65</v>
      </c>
      <c r="O6" s="4">
        <v>9.42</v>
      </c>
      <c r="P6" s="4">
        <v>0.85</v>
      </c>
      <c r="Q6" s="4">
        <v>3.73</v>
      </c>
      <c r="R6" s="4">
        <v>2.58</v>
      </c>
      <c r="S6" s="4">
        <v>13.23</v>
      </c>
      <c r="T6" s="4">
        <v>9.84</v>
      </c>
      <c r="U6" s="4">
        <v>100</v>
      </c>
    </row>
    <row r="7" spans="1:21" x14ac:dyDescent="0.25">
      <c r="A7" s="3">
        <v>1</v>
      </c>
      <c r="B7" s="3">
        <v>8</v>
      </c>
      <c r="C7" s="3">
        <v>1024</v>
      </c>
      <c r="D7" s="3">
        <v>128</v>
      </c>
      <c r="E7" s="3">
        <v>4</v>
      </c>
      <c r="F7" s="3">
        <v>32</v>
      </c>
      <c r="G7" s="3">
        <v>1</v>
      </c>
      <c r="H7" s="3">
        <v>1</v>
      </c>
      <c r="I7" s="3">
        <v>1</v>
      </c>
      <c r="J7" s="5">
        <v>2034034</v>
      </c>
      <c r="K7" s="3" t="s">
        <v>28</v>
      </c>
      <c r="L7" s="4">
        <f>1265.1212/60</f>
        <v>21.085353333333334</v>
      </c>
      <c r="M7" s="4">
        <f t="shared" si="0"/>
        <v>103.8153597457698</v>
      </c>
      <c r="N7" s="4">
        <v>5.17</v>
      </c>
      <c r="O7" s="4">
        <v>9.5</v>
      </c>
      <c r="P7" s="4">
        <v>0.84</v>
      </c>
      <c r="Q7" s="4">
        <v>3.73</v>
      </c>
      <c r="R7" s="4">
        <v>2.58</v>
      </c>
      <c r="S7" s="4">
        <v>13.22</v>
      </c>
      <c r="T7" s="4">
        <v>9.84</v>
      </c>
      <c r="U7" s="4">
        <v>100</v>
      </c>
    </row>
    <row r="8" spans="1:21" x14ac:dyDescent="0.25">
      <c r="A8" s="3">
        <v>2</v>
      </c>
      <c r="B8" s="3">
        <v>10</v>
      </c>
      <c r="C8" s="3">
        <v>1280</v>
      </c>
      <c r="D8" s="3">
        <v>128</v>
      </c>
      <c r="E8" s="3">
        <v>4</v>
      </c>
      <c r="F8" s="3">
        <v>32</v>
      </c>
      <c r="G8" s="3">
        <v>1</v>
      </c>
      <c r="H8" s="3">
        <v>1</v>
      </c>
      <c r="I8" s="3">
        <v>1</v>
      </c>
      <c r="J8" s="5">
        <v>2034034</v>
      </c>
      <c r="K8" s="3" t="s">
        <v>28</v>
      </c>
      <c r="L8" s="4">
        <f>1016.9161/60</f>
        <v>16.948601666666669</v>
      </c>
      <c r="M8" s="4">
        <f t="shared" si="0"/>
        <v>103.32338134876612</v>
      </c>
      <c r="N8" s="4">
        <v>2.65</v>
      </c>
      <c r="O8" s="4">
        <v>9.58</v>
      </c>
      <c r="P8" s="4">
        <v>0.84</v>
      </c>
      <c r="Q8" s="4">
        <v>3.73</v>
      </c>
      <c r="R8" s="4">
        <v>2.58</v>
      </c>
      <c r="S8" s="4">
        <v>13.22</v>
      </c>
      <c r="T8" s="4">
        <v>9.84</v>
      </c>
      <c r="U8" s="4">
        <v>100</v>
      </c>
    </row>
    <row r="9" spans="1:21" x14ac:dyDescent="0.25">
      <c r="A9" s="3">
        <v>2</v>
      </c>
      <c r="B9" s="3">
        <v>12</v>
      </c>
      <c r="C9" s="3">
        <v>1536</v>
      </c>
      <c r="D9" s="3">
        <v>128</v>
      </c>
      <c r="E9" s="3">
        <v>4</v>
      </c>
      <c r="F9" s="3">
        <v>32</v>
      </c>
      <c r="G9" s="3">
        <v>1</v>
      </c>
      <c r="H9" s="3">
        <v>1</v>
      </c>
      <c r="I9" s="3">
        <v>1</v>
      </c>
      <c r="J9" s="5">
        <v>2034034</v>
      </c>
      <c r="K9" s="3" t="s">
        <v>28</v>
      </c>
      <c r="L9" s="4">
        <f>850.9536/60</f>
        <v>14.18256</v>
      </c>
      <c r="M9" s="4">
        <f t="shared" si="0"/>
        <v>102.89555349042141</v>
      </c>
      <c r="N9" s="4">
        <v>7.09</v>
      </c>
      <c r="O9" s="4">
        <v>9.65</v>
      </c>
      <c r="P9" s="4">
        <v>0.83</v>
      </c>
      <c r="Q9" s="4">
        <v>3.73</v>
      </c>
      <c r="R9" s="4">
        <v>2.58</v>
      </c>
      <c r="S9" s="4">
        <v>13.23</v>
      </c>
      <c r="T9" s="4">
        <v>9.84</v>
      </c>
      <c r="U9" s="4">
        <v>100</v>
      </c>
    </row>
    <row r="10" spans="1:21" x14ac:dyDescent="0.25">
      <c r="A10" s="3">
        <v>2</v>
      </c>
      <c r="B10" s="3">
        <v>14</v>
      </c>
      <c r="C10" s="3">
        <v>1792</v>
      </c>
      <c r="D10" s="3">
        <v>128</v>
      </c>
      <c r="E10" s="3">
        <v>4</v>
      </c>
      <c r="F10" s="3">
        <v>32</v>
      </c>
      <c r="G10" s="3">
        <v>1</v>
      </c>
      <c r="H10" s="3">
        <v>1</v>
      </c>
      <c r="I10" s="3">
        <v>1</v>
      </c>
      <c r="J10" s="5">
        <v>2034034</v>
      </c>
      <c r="K10" s="3" t="s">
        <v>28</v>
      </c>
      <c r="L10" s="4">
        <f>717.5194/60</f>
        <v>11.958656666666666</v>
      </c>
      <c r="M10" s="4">
        <f t="shared" si="0"/>
        <v>104.59767956896258</v>
      </c>
      <c r="N10" s="4">
        <v>2.66</v>
      </c>
      <c r="O10" s="4">
        <v>9.74</v>
      </c>
      <c r="P10" s="4">
        <v>0.82</v>
      </c>
      <c r="Q10" s="4">
        <v>3.72</v>
      </c>
      <c r="R10" s="4">
        <v>2.58</v>
      </c>
      <c r="S10" s="4">
        <v>13.23</v>
      </c>
      <c r="T10" s="4">
        <v>9.84</v>
      </c>
      <c r="U10" s="4">
        <v>100</v>
      </c>
    </row>
    <row r="11" spans="1:21" x14ac:dyDescent="0.25">
      <c r="A11" s="3">
        <v>2</v>
      </c>
      <c r="B11" s="3">
        <v>16</v>
      </c>
      <c r="C11" s="3">
        <v>2048</v>
      </c>
      <c r="D11" s="3">
        <v>128</v>
      </c>
      <c r="E11" s="3">
        <v>4</v>
      </c>
      <c r="F11" s="3">
        <v>32</v>
      </c>
      <c r="G11" s="3">
        <v>1</v>
      </c>
      <c r="H11" s="3">
        <v>1</v>
      </c>
      <c r="I11" s="3">
        <v>1</v>
      </c>
      <c r="J11" s="5">
        <v>2034034</v>
      </c>
      <c r="K11" s="3" t="s">
        <v>28</v>
      </c>
      <c r="L11" s="4">
        <f>615.4597/60</f>
        <v>10.257661666666667</v>
      </c>
      <c r="M11" s="4">
        <f t="shared" si="0"/>
        <v>106.69992893117127</v>
      </c>
      <c r="N11" s="4">
        <v>2.66</v>
      </c>
      <c r="O11" s="4">
        <v>9.82</v>
      </c>
      <c r="P11" s="4">
        <v>0.82</v>
      </c>
      <c r="Q11" s="4">
        <v>3.73</v>
      </c>
      <c r="R11" s="4">
        <v>2.58</v>
      </c>
      <c r="S11" s="4">
        <v>13.24</v>
      </c>
      <c r="T11" s="4">
        <v>9.84</v>
      </c>
      <c r="U11" s="4">
        <v>100</v>
      </c>
    </row>
    <row r="14" spans="1:21" x14ac:dyDescent="0.25">
      <c r="A14" s="6" t="s">
        <v>1</v>
      </c>
      <c r="B14" s="6" t="s">
        <v>23</v>
      </c>
    </row>
    <row r="15" spans="1:21" x14ac:dyDescent="0.25">
      <c r="A15" s="6"/>
      <c r="B15" s="6"/>
    </row>
    <row r="16" spans="1:21" x14ac:dyDescent="0.25">
      <c r="A16" s="3">
        <v>1</v>
      </c>
      <c r="B16" s="4">
        <f>10507/60</f>
        <v>175.11666666666667</v>
      </c>
    </row>
    <row r="17" spans="1:2" x14ac:dyDescent="0.25">
      <c r="A17" s="3">
        <v>2</v>
      </c>
      <c r="B17" s="4">
        <f>5259.1699/60</f>
        <v>87.652831666666671</v>
      </c>
    </row>
    <row r="18" spans="1:2" x14ac:dyDescent="0.25">
      <c r="A18" s="3">
        <v>4</v>
      </c>
      <c r="B18" s="4">
        <f>2597.9314/60</f>
        <v>43.298856666666666</v>
      </c>
    </row>
    <row r="19" spans="1:2" x14ac:dyDescent="0.25">
      <c r="A19" s="3">
        <v>6</v>
      </c>
      <c r="B19" s="4">
        <f>1722.05/60</f>
        <v>28.700833333333332</v>
      </c>
    </row>
    <row r="20" spans="1:2" x14ac:dyDescent="0.25">
      <c r="A20" s="3">
        <v>8</v>
      </c>
      <c r="B20" s="4">
        <f>1265.1212/60</f>
        <v>21.085353333333334</v>
      </c>
    </row>
    <row r="21" spans="1:2" x14ac:dyDescent="0.25">
      <c r="A21" s="3">
        <v>10</v>
      </c>
      <c r="B21" s="4">
        <f>1016.9161/60</f>
        <v>16.948601666666669</v>
      </c>
    </row>
    <row r="22" spans="1:2" x14ac:dyDescent="0.25">
      <c r="A22" s="3">
        <v>12</v>
      </c>
      <c r="B22" s="4">
        <f>850.9536/60</f>
        <v>14.18256</v>
      </c>
    </row>
    <row r="23" spans="1:2" x14ac:dyDescent="0.25">
      <c r="A23" s="3">
        <v>14</v>
      </c>
      <c r="B23" s="4">
        <f>717.5194/60</f>
        <v>11.958656666666666</v>
      </c>
    </row>
    <row r="24" spans="1:2" x14ac:dyDescent="0.25">
      <c r="A24" s="3">
        <v>16</v>
      </c>
      <c r="B24" s="4">
        <f>615.4597/60</f>
        <v>10.257661666666667</v>
      </c>
    </row>
  </sheetData>
  <mergeCells count="17">
    <mergeCell ref="L1:L2"/>
    <mergeCell ref="M1:M2"/>
    <mergeCell ref="J1:J2"/>
    <mergeCell ref="K1:K2"/>
    <mergeCell ref="A14:A15"/>
    <mergeCell ref="B14:B15"/>
    <mergeCell ref="A1:A2"/>
    <mergeCell ref="B1:B2"/>
    <mergeCell ref="C1:I1"/>
    <mergeCell ref="R1:R2"/>
    <mergeCell ref="S1:S2"/>
    <mergeCell ref="T1:T2"/>
    <mergeCell ref="U1:U2"/>
    <mergeCell ref="N1:N2"/>
    <mergeCell ref="O1:O2"/>
    <mergeCell ref="P1:P2"/>
    <mergeCell ref="Q1:Q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2C15-73BB-4A58-B1DD-BDDD6DCE5635}">
  <dimension ref="A1:E11"/>
  <sheetViews>
    <sheetView workbookViewId="0">
      <selection activeCell="S31" sqref="S31"/>
    </sheetView>
  </sheetViews>
  <sheetFormatPr defaultRowHeight="15" x14ac:dyDescent="0.25"/>
  <cols>
    <col min="1" max="1" width="9.140625" customWidth="1"/>
    <col min="2" max="2" width="22.42578125" customWidth="1"/>
    <col min="3" max="3" width="22.140625" customWidth="1"/>
    <col min="4" max="4" width="23.7109375" customWidth="1"/>
    <col min="5" max="5" width="22" customWidth="1"/>
  </cols>
  <sheetData>
    <row r="1" spans="1:5" x14ac:dyDescent="0.25">
      <c r="A1" s="6" t="s">
        <v>1</v>
      </c>
      <c r="B1" s="7" t="s">
        <v>20</v>
      </c>
      <c r="C1" s="7" t="s">
        <v>21</v>
      </c>
      <c r="D1" s="7" t="s">
        <v>22</v>
      </c>
      <c r="E1" s="6" t="s">
        <v>23</v>
      </c>
    </row>
    <row r="2" spans="1:5" x14ac:dyDescent="0.25">
      <c r="A2" s="6"/>
      <c r="B2" s="7"/>
      <c r="C2" s="7"/>
      <c r="D2" s="7"/>
      <c r="E2" s="6"/>
    </row>
    <row r="3" spans="1:5" x14ac:dyDescent="0.25">
      <c r="A3" s="3">
        <v>1</v>
      </c>
      <c r="B3" s="3">
        <v>48.86</v>
      </c>
      <c r="C3" s="3">
        <v>61.72</v>
      </c>
      <c r="D3" s="4">
        <f>4482.0135/60</f>
        <v>74.700225000000003</v>
      </c>
      <c r="E3" s="4">
        <f>10507/60</f>
        <v>175.11666666666667</v>
      </c>
    </row>
    <row r="4" spans="1:5" x14ac:dyDescent="0.25">
      <c r="A4" s="3">
        <v>2</v>
      </c>
      <c r="B4" s="4">
        <v>24.17</v>
      </c>
      <c r="C4" s="3">
        <v>31.11</v>
      </c>
      <c r="D4" s="4">
        <f>2230.3787/60</f>
        <v>37.17297833333334</v>
      </c>
      <c r="E4" s="4">
        <f>5259.1699/60</f>
        <v>87.652831666666671</v>
      </c>
    </row>
    <row r="5" spans="1:5" x14ac:dyDescent="0.25">
      <c r="A5" s="3">
        <v>4</v>
      </c>
      <c r="B5" s="4">
        <v>12.13</v>
      </c>
      <c r="C5" s="3">
        <v>15.53</v>
      </c>
      <c r="D5" s="4">
        <f>1086.1913/60</f>
        <v>18.103188333333332</v>
      </c>
      <c r="E5" s="4">
        <f>2597.9314/60</f>
        <v>43.298856666666666</v>
      </c>
    </row>
    <row r="6" spans="1:5" x14ac:dyDescent="0.25">
      <c r="A6" s="3">
        <v>6</v>
      </c>
      <c r="B6" s="4">
        <v>8.1199999999999992</v>
      </c>
      <c r="C6" s="3">
        <v>10.46</v>
      </c>
      <c r="D6" s="4">
        <f>730.0946/60</f>
        <v>12.168243333333333</v>
      </c>
      <c r="E6" s="4">
        <f>1722.05/60</f>
        <v>28.700833333333332</v>
      </c>
    </row>
    <row r="7" spans="1:5" x14ac:dyDescent="0.25">
      <c r="A7" s="3">
        <v>8</v>
      </c>
      <c r="B7" s="4">
        <v>6.07</v>
      </c>
      <c r="C7" s="3">
        <v>7.65</v>
      </c>
      <c r="D7" s="4">
        <f>552.666/60</f>
        <v>9.2111000000000001</v>
      </c>
      <c r="E7" s="4">
        <f>1265.1212/60</f>
        <v>21.085353333333334</v>
      </c>
    </row>
    <row r="8" spans="1:5" x14ac:dyDescent="0.25">
      <c r="A8" s="3">
        <v>10</v>
      </c>
      <c r="B8" s="4">
        <v>4.82</v>
      </c>
      <c r="C8" s="3">
        <v>6.05</v>
      </c>
      <c r="D8" s="4">
        <f>436.5887/60</f>
        <v>7.2764783333333334</v>
      </c>
      <c r="E8" s="4">
        <f>1016.9161/60</f>
        <v>16.948601666666669</v>
      </c>
    </row>
    <row r="9" spans="1:5" x14ac:dyDescent="0.25">
      <c r="A9" s="3">
        <v>12</v>
      </c>
      <c r="B9" s="4">
        <v>4.01</v>
      </c>
      <c r="C9" s="3">
        <v>4.99</v>
      </c>
      <c r="D9" s="4">
        <f>376.9444/60</f>
        <v>6.2824066666666658</v>
      </c>
      <c r="E9" s="4">
        <f>850.9536/60</f>
        <v>14.18256</v>
      </c>
    </row>
    <row r="10" spans="1:5" x14ac:dyDescent="0.25">
      <c r="A10" s="3">
        <v>14</v>
      </c>
      <c r="B10" s="4">
        <v>3.47</v>
      </c>
      <c r="C10" s="3">
        <v>4.26</v>
      </c>
      <c r="D10" s="4">
        <f>304.2299/60</f>
        <v>5.0704983333333331</v>
      </c>
      <c r="E10" s="4">
        <f>717.5194/60</f>
        <v>11.958656666666666</v>
      </c>
    </row>
    <row r="11" spans="1:5" x14ac:dyDescent="0.25">
      <c r="A11" s="3">
        <v>16</v>
      </c>
      <c r="B11" s="4">
        <v>3.05</v>
      </c>
      <c r="C11" s="3">
        <v>3.69</v>
      </c>
      <c r="D11" s="4">
        <f>262.8878/60</f>
        <v>4.3814633333333335</v>
      </c>
      <c r="E11" s="4">
        <f>615.4597/60</f>
        <v>10.257661666666667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T5-Small + AC</vt:lpstr>
      <vt:lpstr>BERT + AC</vt:lpstr>
      <vt:lpstr>RoBERTa + AC</vt:lpstr>
      <vt:lpstr>Llama-3.2-3B + AC</vt:lpstr>
      <vt:lpstr>Inference Time Scaling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Alam, Abrar</dc:creator>
  <cp:lastModifiedBy>Alam, Abrar</cp:lastModifiedBy>
  <dcterms:created xsi:type="dcterms:W3CDTF">2026-02-23T14:34:28Z</dcterms:created>
  <dcterms:modified xsi:type="dcterms:W3CDTF">2026-03-13T14:50:57Z</dcterms:modified>
</cp:coreProperties>
</file>